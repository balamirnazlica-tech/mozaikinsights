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pportunities" sheetId="2" state="visible" r:id="rId4"/>
    <sheet name="Definitions" sheetId="3" state="visible" r:id="rId5"/>
    <sheet name="Outbound" sheetId="4" state="visible" r:id="rId6"/>
    <sheet name="Data Quality" sheetId="5" state="visible" r:id="rId7"/>
    <sheet name="CRM Schema" sheetId="6" state="visible" r:id="rId8"/>
  </sheets>
  <definedNames>
    <definedName function="false" hidden="true" localSheetId="1" name="_xlnm._FilterDatabase" vbProcedure="false">Opportunities!$A$1:$O$108</definedName>
    <definedName function="false" hidden="true" localSheetId="3" name="_xlnm._FilterDatabase" vbProcedure="false">Outbound!$A$1:$F$41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<sst xmlns="http://schemas.openxmlformats.org/spreadsheetml/2006/main" count="1410" uniqueCount="477">
  <si>
    <t xml:space="preserve">Mozaik Design — Enterprise Sales Funnel</t>
  </si>
  <si>
    <t xml:space="preserve">As of 16 Apr 2026 · values in EUR (€)</t>
  </si>
  <si>
    <t xml:space="preserve">Open opportunities</t>
  </si>
  <si>
    <t xml:space="preserve">Gross pipeline</t>
  </si>
  <si>
    <t xml:space="preserve">Weighted pipeline</t>
  </si>
  <si>
    <t xml:space="preserve">Avg deal size</t>
  </si>
  <si>
    <t xml:space="preserve">Pipeline by Stage</t>
  </si>
  <si>
    <t xml:space="preserve">Stage</t>
  </si>
  <si>
    <t xml:space="preserve"># Deals</t>
  </si>
  <si>
    <t xml:space="preserve">Gross €</t>
  </si>
  <si>
    <t xml:space="preserve">Weighted €</t>
  </si>
  <si>
    <t xml:space="preserve">Avg Prob.</t>
  </si>
  <si>
    <t xml:space="preserve">Avg Deal €</t>
  </si>
  <si>
    <t xml:space="preserve">TOFU</t>
  </si>
  <si>
    <t xml:space="preserve">MOFU</t>
  </si>
  <si>
    <t xml:space="preserve">BOFU</t>
  </si>
  <si>
    <t xml:space="preserve">TOTAL</t>
  </si>
  <si>
    <t xml:space="preserve">Pipeline by Rep</t>
  </si>
  <si>
    <t xml:space="preserve">Rep</t>
  </si>
  <si>
    <t xml:space="preserve">Burçin</t>
  </si>
  <si>
    <t xml:space="preserve">Zeynep</t>
  </si>
  <si>
    <t xml:space="preserve">İrem</t>
  </si>
  <si>
    <t xml:space="preserve">Elif</t>
  </si>
  <si>
    <t xml:space="preserve">Qualification Field Fill Rate</t>
  </si>
  <si>
    <t xml:space="preserve">Field</t>
  </si>
  <si>
    <t xml:space="preserve">Filled</t>
  </si>
  <si>
    <t xml:space="preserve">Yes</t>
  </si>
  <si>
    <t xml:space="preserve">No</t>
  </si>
  <si>
    <t xml:space="preserve">Fill %</t>
  </si>
  <si>
    <t xml:space="preserve">Proposal Sent</t>
  </si>
  <si>
    <t xml:space="preserve">Architect Engaged</t>
  </si>
  <si>
    <t xml:space="preserve">Budget Confirmed</t>
  </si>
  <si>
    <t xml:space="preserve">Decision Maker</t>
  </si>
  <si>
    <t xml:space="preserve">Competitor Present</t>
  </si>
  <si>
    <t xml:space="preserve">Where to read next</t>
  </si>
  <si>
    <t xml:space="preserve">• Opportunities tab — all 107 open deals, filterable by rep / stage / probability.   • Definitions tab — what TOFU / MOFU / BOFU mean for Mozaik.   • Outbound tab — 40 architect targets.   • Data Quality tab — what's missing &amp; why it blocks forecasting.   • CRM Schema tab — fields you need before migrating to a CRM.</t>
  </si>
  <si>
    <t xml:space="preserve">Project</t>
  </si>
  <si>
    <t xml:space="preserve">Value (€)</t>
  </si>
  <si>
    <t xml:space="preserve">Close Date</t>
  </si>
  <si>
    <t xml:space="preserve">Probability</t>
  </si>
  <si>
    <t xml:space="preserve">Weighted (€)</t>
  </si>
  <si>
    <t xml:space="preserve">Architect Firm</t>
  </si>
  <si>
    <t xml:space="preserve">Next Step</t>
  </si>
  <si>
    <t xml:space="preserve">Data Fill (5)</t>
  </si>
  <si>
    <t xml:space="preserve">Borsa İstanbul – Çalışma Sandalye/toplantı</t>
  </si>
  <si>
    <t xml:space="preserve">2026-03-30 00:00:00</t>
  </si>
  <si>
    <t xml:space="preserve">son onay</t>
  </si>
  <si>
    <t xml:space="preserve">Hillside Bodrum</t>
  </si>
  <si>
    <t xml:space="preserve">2027-05-15 00:00:00</t>
  </si>
  <si>
    <t xml:space="preserve">Unknown</t>
  </si>
  <si>
    <t xml:space="preserve">sıkı takip !!! perş toplantı</t>
  </si>
  <si>
    <t xml:space="preserve">Borsa İstanbulYönetim</t>
  </si>
  <si>
    <t xml:space="preserve">2026-04-30 00:00:00</t>
  </si>
  <si>
    <t xml:space="preserve">revize teklif aşaması</t>
  </si>
  <si>
    <t xml:space="preserve">GARANTİ SOFTWORK</t>
  </si>
  <si>
    <t xml:space="preserve">mid april</t>
  </si>
  <si>
    <t xml:space="preserve">çok istediklerini belirttiler</t>
  </si>
  <si>
    <t xml:space="preserve">DaaX – 2nd Package</t>
  </si>
  <si>
    <t xml:space="preserve">beginning of april</t>
  </si>
  <si>
    <t xml:space="preserve">ONAY BEKLENİYOR</t>
  </si>
  <si>
    <t xml:space="preserve">Divan Talya – Upsell (Ek Paket)</t>
  </si>
  <si>
    <t xml:space="preserve">2026-04-06 00:00:00</t>
  </si>
  <si>
    <t xml:space="preserve">onaylandı, sipariş girildi. ödeme bekleniyor</t>
  </si>
  <si>
    <t xml:space="preserve">Numarine (VIP)</t>
  </si>
  <si>
    <t xml:space="preserve">2026-04-10 00:00:00</t>
  </si>
  <si>
    <t xml:space="preserve">ONAYLANDI</t>
  </si>
  <si>
    <t xml:space="preserve">amazon framery</t>
  </si>
  <si>
    <t xml:space="preserve">end of april</t>
  </si>
  <si>
    <t xml:space="preserve">revize teklif gitti doalr oalrak onay vakti</t>
  </si>
  <si>
    <t xml:space="preserve">EPIAŞ</t>
  </si>
  <si>
    <t xml:space="preserve">ihaleye çıkılmış takip istiyor</t>
  </si>
  <si>
    <t xml:space="preserve">halkbank</t>
  </si>
  <si>
    <t xml:space="preserve">end of march</t>
  </si>
  <si>
    <t xml:space="preserve">Gençoglu Karakoy satış ofis</t>
  </si>
  <si>
    <t xml:space="preserve">2026-03-31 00:00:00</t>
  </si>
  <si>
    <t xml:space="preserve">onay bekleniyor - imar !</t>
  </si>
  <si>
    <t xml:space="preserve">30xp-04</t>
  </si>
  <si>
    <t xml:space="preserve">Aylin Koen / Office Renovation</t>
  </si>
  <si>
    <t xml:space="preserve">03/03 de teklif verildi. / onay aşamasında</t>
  </si>
  <si>
    <t xml:space="preserve">cevahir holding kavacık teras</t>
  </si>
  <si>
    <t xml:space="preserve">rev teklif</t>
  </si>
  <si>
    <t xml:space="preserve">Turkcell Ankara Vega Plaza</t>
  </si>
  <si>
    <t xml:space="preserve">teklif verildi,bütçe onayına sunuldu</t>
  </si>
  <si>
    <t xml:space="preserve">Divan Bodrum Padel Club</t>
  </si>
  <si>
    <t xml:space="preserve">2026-05-31 00:00:00</t>
  </si>
  <si>
    <t xml:space="preserve">yeni teklif</t>
  </si>
  <si>
    <t xml:space="preserve">7Mehmet Restaurant</t>
  </si>
  <si>
    <t xml:space="preserve">2026-04-17 00:00:00</t>
  </si>
  <si>
    <t xml:space="preserve">mock ürün tekrar sunuma gitti , teslim süresi konusuldu , onay bekleniyor</t>
  </si>
  <si>
    <t xml:space="preserve">Robert Koleji</t>
  </si>
  <si>
    <t xml:space="preserve">Ağustos sonu</t>
  </si>
  <si>
    <t xml:space="preserve">15.04 teklif</t>
  </si>
  <si>
    <t xml:space="preserve">Casino – Kıbrıs (Edra)</t>
  </si>
  <si>
    <t xml:space="preserve">onay bekleniyor</t>
  </si>
  <si>
    <t xml:space="preserve">Garanti – TOPLANTI Sandalye</t>
  </si>
  <si>
    <t xml:space="preserve">Fiko Selimiye Otel</t>
  </si>
  <si>
    <t xml:space="preserve">Çalık Holding / İstanbloom Office</t>
  </si>
  <si>
    <t xml:space="preserve">ihale(firmalara teklif verildi )</t>
  </si>
  <si>
    <t xml:space="preserve">Çengelköy Ofis Projesi</t>
  </si>
  <si>
    <t xml:space="preserve">inşai süreçte / mimari  satın alma toplantısı olumlu</t>
  </si>
  <si>
    <t xml:space="preserve">Cup of Joy</t>
  </si>
  <si>
    <t xml:space="preserve">onaylandı ödeme gelicek</t>
  </si>
  <si>
    <t xml:space="preserve">Kundu Voyage - ek</t>
  </si>
  <si>
    <t xml:space="preserve">2026-03-05 00:00:00</t>
  </si>
  <si>
    <t xml:space="preserve">Tapestry Gümüşsuyu Hilton</t>
  </si>
  <si>
    <t xml:space="preserve">09.04.2026 mail attım</t>
  </si>
  <si>
    <t xml:space="preserve">Aydın Kuruyemiş</t>
  </si>
  <si>
    <t xml:space="preserve">12/2025 de çalışıldı, hala karar aşamasında</t>
  </si>
  <si>
    <t xml:space="preserve">HSBC</t>
  </si>
  <si>
    <t xml:space="preserve">bütçe onayından geçmesi bekleniyor</t>
  </si>
  <si>
    <t xml:space="preserve">Caudile Kanyon</t>
  </si>
  <si>
    <t xml:space="preserve">Bodrum Bodrum</t>
  </si>
  <si>
    <t xml:space="preserve">?</t>
  </si>
  <si>
    <t xml:space="preserve">reminded, geri dönüşe bağlı ilerlenecek</t>
  </si>
  <si>
    <t xml:space="preserve">Barut Anda  Otel</t>
  </si>
  <si>
    <t xml:space="preserve">2026-03-14 00:00:00</t>
  </si>
  <si>
    <t xml:space="preserve">onaylandı sipariş girildi . ödeme bekleniyor</t>
  </si>
  <si>
    <t xml:space="preserve">Circle Bodrum</t>
  </si>
  <si>
    <t xml:space="preserve">2026-05-01 00:00:00</t>
  </si>
  <si>
    <t xml:space="preserve">TimeValee PopUp</t>
  </si>
  <si>
    <t xml:space="preserve">yeni teklif verildi / önceden çalıştığımız bir müşteri</t>
  </si>
  <si>
    <t xml:space="preserve">daax walter knoll paket</t>
  </si>
  <si>
    <t xml:space="preserve">ZAHA HADİD</t>
  </si>
  <si>
    <t xml:space="preserve">HAZIRLIK</t>
  </si>
  <si>
    <t xml:space="preserve">kadoil yonetim kat</t>
  </si>
  <si>
    <t xml:space="preserve">11/2025 de çalışıldı, henüz karar verilmemiş.</t>
  </si>
  <si>
    <t xml:space="preserve">Divan Göcek</t>
  </si>
  <si>
    <t xml:space="preserve">2026-11-15 00:00:00</t>
  </si>
  <si>
    <t xml:space="preserve">Metex Sinan Kafadar</t>
  </si>
  <si>
    <t xml:space="preserve">yatırımcı ile görüşüldü , mock  up için bütçe üzeri kaldık. Genel paket için ayrıca çalışacağız Mimar Sinan Kafadar. Satınalım tahmini kasım 2026 , açılış 2027 başı .</t>
  </si>
  <si>
    <t xml:space="preserve">THY JFK</t>
  </si>
  <si>
    <t xml:space="preserve">INHOUSE+AUTOBAN</t>
  </si>
  <si>
    <t xml:space="preserve">İLK TEKLİF</t>
  </si>
  <si>
    <t xml:space="preserve">AAW-Maslak Ofis</t>
  </si>
  <si>
    <t xml:space="preserve">inşaat aşamasında</t>
  </si>
  <si>
    <t xml:space="preserve">DIVAN AKARETLER SUIT</t>
  </si>
  <si>
    <t xml:space="preserve">2026-06-30 00:00:00</t>
  </si>
  <si>
    <t xml:space="preserve">Tabanlıoğlu Mim</t>
  </si>
  <si>
    <t xml:space="preserve">Tabanalıoglundan son adetler bekleniyor. Haziran sonu teslim !</t>
  </si>
  <si>
    <t xml:space="preserve">thy kahire</t>
  </si>
  <si>
    <t xml:space="preserve">Emlak Katılım</t>
  </si>
  <si>
    <t xml:space="preserve">soon</t>
  </si>
  <si>
    <t xml:space="preserve">teklif verildi &amp; reminded , dönüş bekleniyor</t>
  </si>
  <si>
    <t xml:space="preserve">ıga genel havacılık terminalı</t>
  </si>
  <si>
    <t xml:space="preserve">NEXT WEEK</t>
  </si>
  <si>
    <t xml:space="preserve">STOK URUN OLDUGU İÇİN KONU ACİL</t>
  </si>
  <si>
    <t xml:space="preserve">OZ RESTAURANT</t>
  </si>
  <si>
    <t xml:space="preserve">belirsiz</t>
  </si>
  <si>
    <t xml:space="preserve">Misa mimarlık</t>
  </si>
  <si>
    <t xml:space="preserve">alternatif ürünler için fiyat toplanıyori açılış + bütçe  belirsiz.</t>
  </si>
  <si>
    <t xml:space="preserve">Medipol Kavacık Yurt</t>
  </si>
  <si>
    <t xml:space="preserve">Yapı Artı</t>
  </si>
  <si>
    <t xml:space="preserve">ihale dosyası gönderildi</t>
  </si>
  <si>
    <t xml:space="preserve">SEHER AYDINLAR OFİS</t>
  </si>
  <si>
    <t xml:space="preserve">2026</t>
  </si>
  <si>
    <t xml:space="preserve">Norm Mimarlık</t>
  </si>
  <si>
    <t xml:space="preserve">Vural Bey'i aradım yarın dönüş yapacak 08.04.2026</t>
  </si>
  <si>
    <t xml:space="preserve">BEEFBAR ORTAKÖY</t>
  </si>
  <si>
    <t xml:space="preserve">2026-08-01 00:00:00</t>
  </si>
  <si>
    <t xml:space="preserve">Geo_id</t>
  </si>
  <si>
    <t xml:space="preserve">açılış 2026 Eylül e ertelendi , paketi bekletiyorlar.Geo_id ile görüşülüyor. ürünler özel üreim</t>
  </si>
  <si>
    <t xml:space="preserve">çalık yonetici odası</t>
  </si>
  <si>
    <t xml:space="preserve">INHOUSE</t>
  </si>
  <si>
    <t xml:space="preserve">teklif verildi</t>
  </si>
  <si>
    <t xml:space="preserve">JW Marriott Ankara</t>
  </si>
  <si>
    <t xml:space="preserve">2026-04-20 00:00:00</t>
  </si>
  <si>
    <t xml:space="preserve">evet</t>
  </si>
  <si>
    <t xml:space="preserve">Otel geneli için showroom görselleri ve referanslar mimar &amp; ilgili kişi ve yatırımcıya gönderildi İstanbul daveti yapıldı</t>
  </si>
  <si>
    <t xml:space="preserve">Doğuhan Emiruras Tekne ( doğan holding )</t>
  </si>
  <si>
    <t xml:space="preserve">teklif verildi, mşteriden dönüş bekleniyor</t>
  </si>
  <si>
    <t xml:space="preserve">The Marmara Bodrum</t>
  </si>
  <si>
    <t xml:space="preserve">Cengiz Kurt</t>
  </si>
  <si>
    <t xml:space="preserve">teklif büyüyor alternatif ürünler önerildi</t>
  </si>
  <si>
    <t xml:space="preserve">Mensis Energy</t>
  </si>
  <si>
    <t xml:space="preserve">2026 haziran</t>
  </si>
  <si>
    <t xml:space="preserve">14.04.2026 norm ile görüşüldü yarın toplantıları var.</t>
  </si>
  <si>
    <t xml:space="preserve">Sneaks-Up</t>
  </si>
  <si>
    <t xml:space="preserve">reminded,geri dönüş olmadı</t>
  </si>
  <si>
    <t xml:space="preserve">EFS ÇELİKTAŞ OFİS</t>
  </si>
  <si>
    <t xml:space="preserve">efs / alternatifli teklif verildi</t>
  </si>
  <si>
    <t xml:space="preserve">Sardunya Selimiye Otel</t>
  </si>
  <si>
    <t xml:space="preserve">46127</t>
  </si>
  <si>
    <t xml:space="preserve">hayır</t>
  </si>
  <si>
    <t xml:space="preserve">Projeckt Hous</t>
  </si>
  <si>
    <t xml:space="preserve">bütçe toplantısından geçmeli</t>
  </si>
  <si>
    <t xml:space="preserve">Riyadh CEO Office</t>
  </si>
  <si>
    <t xml:space="preserve">showroom ziyaretine gelicekler(miş)</t>
  </si>
  <si>
    <t xml:space="preserve">KAYA ERSU OFİS</t>
  </si>
  <si>
    <t xml:space="preserve">seçilen ürünlere teklif verildi</t>
  </si>
  <si>
    <t xml:space="preserve">ENSAR TEKSTİL</t>
  </si>
  <si>
    <t xml:space="preserve">İstinyepark food court</t>
  </si>
  <si>
    <t xml:space="preserve">Orjin Grup</t>
  </si>
  <si>
    <t xml:space="preserve">CENGİZ ANTALYA OTEL</t>
  </si>
  <si>
    <t xml:space="preserve">Atıldan Ozel         Bar Studio</t>
  </si>
  <si>
    <t xml:space="preserve">2026 aralık MİMAR BARSTUDIO / Nisan 7 - 8 mimarlar ve yatırımcının şantiyede toplantısı olacak.Mimar netleşirse prpje başlayacak , şansımız çok yüksek !!!!</t>
  </si>
  <si>
    <t xml:space="preserve">Özdilek TOSAB Fabrika</t>
  </si>
  <si>
    <t xml:space="preserve">ESAS HOLDİNG YÖNETİM KATI</t>
  </si>
  <si>
    <t xml:space="preserve">fourandmore ile takipteyiz</t>
  </si>
  <si>
    <t xml:space="preserve">HAS&amp;KOEN FAB PROJECT</t>
  </si>
  <si>
    <t xml:space="preserve">polat psm projesi</t>
  </si>
  <si>
    <t xml:space="preserve">2026-05-11 00:00:00</t>
  </si>
  <si>
    <t xml:space="preserve">inhouse</t>
  </si>
  <si>
    <t xml:space="preserve">teklif yollandı teknik spect markadan bekliyoruz</t>
  </si>
  <si>
    <t xml:space="preserve">KUVEYTTURK EK KATLAR</t>
  </si>
  <si>
    <t xml:space="preserve">KREATIF</t>
  </si>
  <si>
    <t xml:space="preserve">TAKİP</t>
  </si>
  <si>
    <t xml:space="preserve">TERA BANK</t>
  </si>
  <si>
    <t xml:space="preserve">TEAM PROJECT</t>
  </si>
  <si>
    <t xml:space="preserve">SUNUM HAZırlandı mimardan TOPLANTI RİCA EDİLDİ</t>
  </si>
  <si>
    <t xml:space="preserve">CERIST</t>
  </si>
  <si>
    <t xml:space="preserve">HAN TUMERTEKIN</t>
  </si>
  <si>
    <t xml:space="preserve">SUNUM HAZIRLANACAK</t>
  </si>
  <si>
    <t xml:space="preserve">işbank yonetim katları</t>
  </si>
  <si>
    <t xml:space="preserve">ihale process</t>
  </si>
  <si>
    <t xml:space="preserve">Garanti – Çalışma Sandalye</t>
  </si>
  <si>
    <t xml:space="preserve">musteriden bu satınalımı yapıp yapmayacagını bekliyoruz. DEĞİŞİM DAHA YUKSEK</t>
  </si>
  <si>
    <t xml:space="preserve">p&amp;g framery</t>
  </si>
  <si>
    <t xml:space="preserve">lead</t>
  </si>
  <si>
    <t xml:space="preserve">beymen ifm</t>
  </si>
  <si>
    <t xml:space="preserve">2026-05-15 00:00:00</t>
  </si>
  <si>
    <t xml:space="preserve">bağımsız mimarlar +beymen inhouse</t>
  </si>
  <si>
    <t xml:space="preserve">SUNUM YAPILDI. eylul acılıs</t>
  </si>
  <si>
    <t xml:space="preserve">beymen zorlu</t>
  </si>
  <si>
    <t xml:space="preserve">2026-12-12 00:00:00</t>
  </si>
  <si>
    <t xml:space="preserve">yabu pushenberg</t>
  </si>
  <si>
    <t xml:space="preserve">2027</t>
  </si>
  <si>
    <t xml:space="preserve">beymen armada</t>
  </si>
  <si>
    <t xml:space="preserve">denizbank sosyal alan</t>
  </si>
  <si>
    <t xml:space="preserve">jeyabn ulku arc</t>
  </si>
  <si>
    <t xml:space="preserve">sunum hazırlanıyor</t>
  </si>
  <si>
    <t xml:space="preserve">Four season satış ofisi+penthouse</t>
  </si>
  <si>
    <t xml:space="preserve">sinan kafadar</t>
  </si>
  <si>
    <t xml:space="preserve">sunum yapılıyor musteriye top musteride</t>
  </si>
  <si>
    <t xml:space="preserve">bilişim ofisi projesi faz 0</t>
  </si>
  <si>
    <t xml:space="preserve">norm</t>
  </si>
  <si>
    <t xml:space="preserve">teklif yollandı</t>
  </si>
  <si>
    <t xml:space="preserve">AMANRUYA</t>
  </si>
  <si>
    <t xml:space="preserve">Atılgan özel  VE ??</t>
  </si>
  <si>
    <t xml:space="preserve">Atılgan Özel ile örnek villalar yapıalcak , takip ediyoruz. Otel bölümü için daha zaman var</t>
  </si>
  <si>
    <t xml:space="preserve">Bulgari Bodrum SatışOFİS</t>
  </si>
  <si>
    <t xml:space="preserve">ZD Group</t>
  </si>
  <si>
    <t xml:space="preserve">Haziran ilk hafta satış ofisi açılışı hedefleniyor, çok kısıtlı süre. önümüzdeki hafta 14.04 malzeme seçimleri yapılacak. yatırımcıdan teklif isteği bekleniyor - Cengiz Holding</t>
  </si>
  <si>
    <t xml:space="preserve">MAXX ROYAL MALDIVLER</t>
  </si>
  <si>
    <t xml:space="preserve">Autoban</t>
  </si>
  <si>
    <t xml:space="preserve">2026 aralık sezon açılış. Paket bekleniyor. yatırımcı + ceo ile süreli irtibattayız. Mimar bizi sevmiyor ancak Maxx Royal grup proje partneriyiz</t>
  </si>
  <si>
    <t xml:space="preserve">MAXX ROYAL BELEK</t>
  </si>
  <si>
    <t xml:space="preserve">2027 Sezon</t>
  </si>
  <si>
    <t xml:space="preserve">???</t>
  </si>
  <si>
    <t xml:space="preserve">Maxx Royal grup proje partneriyiz şansımız yüksek, mevcut otel renovasyona girecek. HBA Sayeli uysal ile görüşülecek . HBA İptal Arketipo ile görüşülüyor</t>
  </si>
  <si>
    <t xml:space="preserve">Ankara Savunma sanayi</t>
  </si>
  <si>
    <t xml:space="preserve">84 adet 4 haftada teslim sandalye için çalışıyoruz.</t>
  </si>
  <si>
    <t xml:space="preserve">SİRKECİ GAR OTEL</t>
  </si>
  <si>
    <t xml:space="preserve">Gökcan  Bulut</t>
  </si>
  <si>
    <t xml:space="preserve">mimar ile görüşüldü yeni otel projesi , bekliyoruz..TOSMUR Group</t>
  </si>
  <si>
    <t xml:space="preserve">FİKO POLİGON</t>
  </si>
  <si>
    <t xml:space="preserve">Önerile uygun bulunmadı , yeni öneri yapılacak düşük bütçe</t>
  </si>
  <si>
    <t xml:space="preserve">ST REGIS KARYA COVE RESORT BODRUM</t>
  </si>
  <si>
    <t xml:space="preserve">2027 Haziran</t>
  </si>
  <si>
    <t xml:space="preserve">ÖĞREN  ???</t>
  </si>
  <si>
    <t xml:space="preserve">Access hospitality Haluk Özdoğan ile 27. 04 görüşülecek . Yatırımcı Kuzu Grıup</t>
  </si>
  <si>
    <t xml:space="preserve">THY OTEL</t>
  </si>
  <si>
    <t xml:space="preserve">Sevimlisoy Mim.</t>
  </si>
  <si>
    <t xml:space="preserve">işletmeci grup Grand Yazıcı  ile sürekli iletişime geçmeye çalışılıyor, cevap yok . şantiye ?</t>
  </si>
  <si>
    <t xml:space="preserve">grand tarabya - accor fairmont oluyor !</t>
  </si>
  <si>
    <t xml:space="preserve">Yeşim Kozanlı</t>
  </si>
  <si>
    <t xml:space="preserve">Marka değişiyor , otel komple renovasyona girecek.</t>
  </si>
  <si>
    <t xml:space="preserve">Hyatt Regency Ataköy Rams a satılmış !</t>
  </si>
  <si>
    <t xml:space="preserve">LUJO KERPİC</t>
  </si>
  <si>
    <t xml:space="preserve">otelin sahibi ile görüşüldü, miamr belli değil proje başında dahil olmak için sıkı takip !</t>
  </si>
  <si>
    <t xml:space="preserve">GRAND HYATT TAKSİM - DOĞUŞ</t>
  </si>
  <si>
    <t xml:space="preserve">Renovasyona gireceğini öğrendik, Doğuş Hospitality ile iletişime geçeceğiz</t>
  </si>
  <si>
    <t xml:space="preserve">BEACH PROJE           I AM IST</t>
  </si>
  <si>
    <t xml:space="preserve">I AM ISTANBUL</t>
  </si>
  <si>
    <t xml:space="preserve">Mimara örnek sunumlar &amp; alt. ürünler gönderildi . gelişme olmadı</t>
  </si>
  <si>
    <t xml:space="preserve">FIKO YALIKAVAK</t>
  </si>
  <si>
    <t xml:space="preserve">yatırımcı ile görüşüldü, mevcut restoranın sandalyeleri değişecek , takip !</t>
  </si>
  <si>
    <t xml:space="preserve">SHANGRIA YALIKAVAK</t>
  </si>
  <si>
    <t xml:space="preserve">????</t>
  </si>
  <si>
    <t xml:space="preserve">2029 açılış - mimar  kim ? araştır</t>
  </si>
  <si>
    <t xml:space="preserve">KIZILAGAÇ YALIÇIFTLIK OTEL  KALYON</t>
  </si>
  <si>
    <t xml:space="preserve">2029</t>
  </si>
  <si>
    <t xml:space="preserve">AW2 ARCH.</t>
  </si>
  <si>
    <t xml:space="preserve">AW2 ARCH. DOME+PARTNERS ? İNTERİOR ?</t>
  </si>
  <si>
    <t xml:space="preserve">LONDRA OTEL</t>
  </si>
  <si>
    <t xml:space="preserve">ION RIVA OTEL &amp; KONUT &amp; SOSYAL ALANLAR</t>
  </si>
  <si>
    <t xml:space="preserve">yatırımcı ile görüşüldü. Konut &amp; otel  &amp; sosyal alanlar çok kapsamlı proje.              mimar : snohetta /big /bilgin studio/</t>
  </si>
  <si>
    <t xml:space="preserve">MEDİPOL</t>
  </si>
  <si>
    <t xml:space="preserve">Hasan beyden Rıza uçan numarasını aldım aradım açmadı tekrar</t>
  </si>
  <si>
    <t xml:space="preserve">Swissotel Bosphorus</t>
  </si>
  <si>
    <t xml:space="preserve">Designist</t>
  </si>
  <si>
    <t xml:space="preserve">iletişim bilgimi listelere eklediler</t>
  </si>
  <si>
    <t xml:space="preserve">Acıbadem Hastahanesi Beylikdüzü</t>
  </si>
  <si>
    <t xml:space="preserve">Norm Mimarlık ile görüşüldü proje devam ediyor</t>
  </si>
  <si>
    <t xml:space="preserve">Acıbadem Hastahanesi Ankara</t>
  </si>
  <si>
    <t xml:space="preserve">GÜVEN HASTANE</t>
  </si>
  <si>
    <t xml:space="preserve">Sunum ileteceğim</t>
  </si>
  <si>
    <t xml:space="preserve">Kemer ELA Otel Mockup</t>
  </si>
  <si>
    <t xml:space="preserve">Inter Yapı</t>
  </si>
  <si>
    <t xml:space="preserve">Merve Hanımdan tarih aldım takip ediliyor</t>
  </si>
  <si>
    <t xml:space="preserve">DEFINEX OFFICE</t>
  </si>
  <si>
    <t xml:space="preserve">SUNUM YAPILDI/ mimar ile toplantı bekleniyor</t>
  </si>
  <si>
    <t xml:space="preserve">Gökcan Bulut  / tekne</t>
  </si>
  <si>
    <t xml:space="preserve">soon / stok</t>
  </si>
  <si>
    <t xml:space="preserve">müşteriye ulaşmaya çalışıyorum</t>
  </si>
  <si>
    <t xml:space="preserve">ZUBER OFİS</t>
  </si>
  <si>
    <t xml:space="preserve">teklif verilecek</t>
  </si>
  <si>
    <t xml:space="preserve">EKSİM HOLDİNG</t>
  </si>
  <si>
    <t xml:space="preserve">SEDA TÜRKOĞLU-Ceccotti Ofis</t>
  </si>
  <si>
    <t xml:space="preserve">teklif verilecek , showroomda topantı ayarlanacak</t>
  </si>
  <si>
    <t xml:space="preserve">EMRE AROLAT-OFİS</t>
  </si>
  <si>
    <t xml:space="preserve">Funnel Stage Definitions — tailored to Mozaik Design</t>
  </si>
  <si>
    <t xml:space="preserve">Mozaik's enterprise sales cycle involves an architect/specifier, a client/owner, and a product package (furniture, lighting, fabrics). Use the table below as the single source of truth for when a deal sits in each stage.</t>
  </si>
  <si>
    <t xml:space="preserve">Entry criteria</t>
  </si>
  <si>
    <t xml:space="preserve">Exit criteria (move to next stage)</t>
  </si>
  <si>
    <t xml:space="preserve">Probability band</t>
  </si>
  <si>
    <t xml:space="preserve">TOFU
(Top of Funnel)</t>
  </si>
  <si>
    <t xml:space="preserve">• Target company + contact identified
• At least one meaningful touchpoint
• Broad product fit plausible
• No confirmed brief / budget / timeline yet</t>
  </si>
  <si>
    <t xml:space="preserve">• Specific project brief exists (name, location, scope)
• Architect engaged OR RFP received
• Indicative budget range known</t>
  </si>
  <si>
    <t xml:space="preserve">10–25%</t>
  </si>
  <si>
    <t xml:space="preserve">MOFU
(Middle of Funnel)</t>
  </si>
  <si>
    <t xml:space="preserve">• Project brief confirmed &amp; quantified (€)
• Architect actively specifying our products
• Decision maker known and reachable
• Proposal sent or scheduled</t>
  </si>
  <si>
    <t xml:space="preserve">• Proposal accepted verbally OR budget confirmed
• Competitor set narrowed to us + 1, or sole source
• Order/contract being drafted</t>
  </si>
  <si>
    <t xml:space="preserve">30–70%</t>
  </si>
  <si>
    <t xml:space="preserve">BOFU
(Bottom of Funnel)</t>
  </si>
  <si>
    <t xml:space="preserve">• Proposal sent AND approved
• Budget explicitly confirmed
• Decision maker committed
• Compelling event exists (opening, season, move-in)</t>
  </si>
  <si>
    <t xml:space="preserve">• Signed order / contract received
• Down-payment received OR corporate PO issued
→ Move to 'Won'</t>
  </si>
  <si>
    <t xml:space="preserve">75–99%</t>
  </si>
  <si>
    <t xml:space="preserve">Won</t>
  </si>
  <si>
    <t xml:space="preserve">• PO / contract received
• Down-payment received (if applicable)</t>
  </si>
  <si>
    <t xml:space="preserve">(terminal)</t>
  </si>
  <si>
    <t xml:space="preserve">100%</t>
  </si>
  <si>
    <t xml:space="preserve">Lost</t>
  </si>
  <si>
    <t xml:space="preserve">• Competitor chose
• Budget killed
• Ghosted &gt; 60 days
• Timing slipped out of horizon</t>
  </si>
  <si>
    <t xml:space="preserve">(terminal — record lost reason)</t>
  </si>
  <si>
    <t xml:space="preserve">0%</t>
  </si>
  <si>
    <t xml:space="preserve">Probability bands to standardize on</t>
  </si>
  <si>
    <t xml:space="preserve">Right now probabilities are free-form (0.01, 0.51, 0.97 etc.), which makes forecasting noisy.
Use only these bands:   TOFU → 10% / 20%   ·   MOFU → 30% / 50% / 70%   ·   BOFU → 80% / 90% / 100%.
Any deal at 100% should be moved to a 'Won — awaiting PO/payment' stage, not left in BOFU.</t>
  </si>
  <si>
    <t xml:space="preserve">Section</t>
  </si>
  <si>
    <t xml:space="preserve">Company</t>
  </si>
  <si>
    <t xml:space="preserve">Contact</t>
  </si>
  <si>
    <t xml:space="preserve">Date</t>
  </si>
  <si>
    <t xml:space="preserve">Note</t>
  </si>
  <si>
    <t xml:space="preserve">HOSPITALITY</t>
  </si>
  <si>
    <t xml:space="preserve">WANGAN</t>
  </si>
  <si>
    <t xml:space="preserve">ÖZER+TULGAN</t>
  </si>
  <si>
    <t xml:space="preserve">MURAT ÖZ</t>
  </si>
  <si>
    <t xml:space="preserve">URBANJOBS</t>
  </si>
  <si>
    <t xml:space="preserve">ZOOMTPU</t>
  </si>
  <si>
    <t xml:space="preserve">KRN MIMARLIK</t>
  </si>
  <si>
    <t xml:space="preserve">ACIBADEM PROJE YONETIM</t>
  </si>
  <si>
    <t xml:space="preserve">DESIGNIST</t>
  </si>
  <si>
    <t xml:space="preserve">SANAYI313</t>
  </si>
  <si>
    <t xml:space="preserve">AYSE KUBILAY</t>
  </si>
  <si>
    <t xml:space="preserve">SEÇİL ONUK</t>
  </si>
  <si>
    <t xml:space="preserve">ANKARA GÜVEN HASTANE</t>
  </si>
  <si>
    <t xml:space="preserve">NORM MIMARLIK</t>
  </si>
  <si>
    <t xml:space="preserve">EKIN PEKAKCAN</t>
  </si>
  <si>
    <t xml:space="preserve">2026-04-15 00:00:00</t>
  </si>
  <si>
    <t xml:space="preserve">Ekin Pekakcan Ve Esin Tersan ile görüşüldü. Beylikdüzü Acıbadem Proje !  Terminal Bilişim merkezi çok büyük proje olacak Zeynep çalışıyor.  Salone sonrası yenilikler için görüşelim</t>
  </si>
  <si>
    <t xml:space="preserve">ACCESS HOSPITALITY</t>
  </si>
  <si>
    <t xml:space="preserve">27.04  haftası  Haluk Özdoğan ile görüşülecek</t>
  </si>
  <si>
    <t xml:space="preserve">GEO_ID</t>
  </si>
  <si>
    <t xml:space="preserve">TUĞÇE RİZELİ</t>
  </si>
  <si>
    <t xml:space="preserve">METEX</t>
  </si>
  <si>
    <t xml:space="preserve">SİNAN KAFADAR</t>
  </si>
  <si>
    <t xml:space="preserve">STUDIO ERK</t>
  </si>
  <si>
    <t xml:space="preserve">HÜRAY ERK</t>
  </si>
  <si>
    <t xml:space="preserve">SEVIMLI MIMARLIK</t>
  </si>
  <si>
    <t xml:space="preserve">TABANLIOĞLU</t>
  </si>
  <si>
    <t xml:space="preserve">MISA MIMARLIK</t>
  </si>
  <si>
    <t xml:space="preserve">AYŞE ÖZ</t>
  </si>
  <si>
    <t xml:space="preserve">KUD</t>
  </si>
  <si>
    <t xml:space="preserve">TOLGAN SENCER</t>
  </si>
  <si>
    <t xml:space="preserve">GULDEN ŞENER</t>
  </si>
  <si>
    <t xml:space="preserve">YEŞİM KOZANLI MIMARLIK</t>
  </si>
  <si>
    <t xml:space="preserve">BANU - KORAY KİDİŞ</t>
  </si>
  <si>
    <t xml:space="preserve">DOĞUŞ HOSPİTALITY</t>
  </si>
  <si>
    <t xml:space="preserve">RANA AKIN</t>
  </si>
  <si>
    <t xml:space="preserve">HILL INVESTMENT</t>
  </si>
  <si>
    <t xml:space="preserve">SERVOTEL</t>
  </si>
  <si>
    <t xml:space="preserve">ÖMER ISVAN</t>
  </si>
  <si>
    <t xml:space="preserve">OFIS</t>
  </si>
  <si>
    <t xml:space="preserve">ALTIPATLAR ARCH. **</t>
  </si>
  <si>
    <t xml:space="preserve">Yasin Altipat</t>
  </si>
  <si>
    <t xml:space="preserve">klinik projeler, colgate,Schwarzkopf Projesi</t>
  </si>
  <si>
    <t xml:space="preserve">İKİBİNİKİ</t>
  </si>
  <si>
    <t xml:space="preserve">Adil Kırkaya (Ortak)-Erdem Argun (Ortak)</t>
  </si>
  <si>
    <t xml:space="preserve">U DESIGN</t>
  </si>
  <si>
    <t xml:space="preserve">Umut Uzuner</t>
  </si>
  <si>
    <t xml:space="preserve">ofis, holding ,  "yeni ofis tasarımları"</t>
  </si>
  <si>
    <t xml:space="preserve">DAM DESIGN</t>
  </si>
  <si>
    <t xml:space="preserve">Dicle DemirAlper TüzünoğluCo-Founder / Architects</t>
  </si>
  <si>
    <t xml:space="preserve">ofis,bank hq, hotel</t>
  </si>
  <si>
    <t xml:space="preserve">DBS</t>
  </si>
  <si>
    <t xml:space="preserve">Muzaffer Emiroğlu kurucu ortak</t>
  </si>
  <si>
    <t xml:space="preserve">"dbs, bir Mimarlık ve mühendislik şirketidir. Kurumsal fit-out alanında ofis dizaynı ve uygulamaları yapar</t>
  </si>
  <si>
    <t xml:space="preserve">ALYA ARCH.</t>
  </si>
  <si>
    <t xml:space="preserve">GİZEM ŞİPKAN (MİMAR)</t>
  </si>
  <si>
    <t xml:space="preserve">OSO ARCH.</t>
  </si>
  <si>
    <t xml:space="preserve">OĞUL BURNAZ ARCH.</t>
  </si>
  <si>
    <t xml:space="preserve">Data Quality Audit — what's missing or inconsistent</t>
  </si>
  <si>
    <t xml:space="preserve"># Filled</t>
  </si>
  <si>
    <t xml:space="preserve">Comment</t>
  </si>
  <si>
    <t xml:space="preserve">36 deals have text like 'teklif verildi' or are blank. Can't be summed or weighted.</t>
  </si>
  <si>
    <t xml:space="preserve">Mix of real dates and free text ('soon', 'end of april', '2027'). Blocks time-phased forecast.</t>
  </si>
  <si>
    <t xml:space="preserve">Too many free values (0.01, 0.51, 0.97). Standardize to bands.</t>
  </si>
  <si>
    <t xml:space="preserve">Team is quoting before Budget is confirmed on many deals.</t>
  </si>
  <si>
    <t xml:space="preserve">Architect = strongest signal (85% Yes among filled). Double-down on outbound.</t>
  </si>
  <si>
    <t xml:space="preserve">Biggest forecasting gap. Lowest fill rate of the five.</t>
  </si>
  <si>
    <t xml:space="preserve">Decision Maker Identified</t>
  </si>
  <si>
    <t xml:space="preserve">Should be mandatory for MOFU+ entry.</t>
  </si>
  <si>
    <t xml:space="preserve">Useful. Add specific competitor name field.</t>
  </si>
  <si>
    <t xml:space="preserve">Exists as free text, but no owner and no due date.</t>
  </si>
  <si>
    <t xml:space="preserve">Structural gaps — fields that simply don't exist in the file</t>
  </si>
  <si>
    <t xml:space="preserve">• No Won / Lost stages → can't compute win rate or avg cycle time.</t>
  </si>
  <si>
    <t xml:space="preserve">• No stage-entered date → can't measure velocity or time-in-stage (Sales Velocity column exists but is 100% empty).</t>
  </si>
  <si>
    <t xml:space="preserve">• No lead source → can't tell which channel (architect referral / outbound / showroom / inbound) is converting.</t>
  </si>
  <si>
    <t xml:space="preserve">• No industry / vertical tag → can't compare Hospitality vs Office vs Yacht vs Retail vs Bank performance.</t>
  </si>
  <si>
    <t xml:space="preserve">• No Lost Reason drop-down → 'Ghosting / Operation / Time / Budget' only live in weekly notes.</t>
  </si>
  <si>
    <t xml:space="preserve">• No compelling event for MOFU/TOFU → field is only asked of BOFU today.</t>
  </si>
  <si>
    <t xml:space="preserve">• No Next Step owner / due date → no accountability on the weekly cadence.</t>
  </si>
  <si>
    <t xml:space="preserve">• No product / SKU / margin → can't forecast stock, GM% or category mix.</t>
  </si>
  <si>
    <t xml:space="preserve">• No contact name / role / email / phone → account record is incomplete.</t>
  </si>
  <si>
    <t xml:space="preserve">• Outbound sheet has no status or last-touch date → prospecting list is static, not working.</t>
  </si>
  <si>
    <t xml:space="preserve">Recommended CRM schema (before migrating from this spreadsheet)</t>
  </si>
  <si>
    <t xml:space="preserve">Every field you need per opportunity for clean reporting. Required = must be filled to leave TOFU.</t>
  </si>
  <si>
    <t xml:space="preserve">Type</t>
  </si>
  <si>
    <t xml:space="preserve">Required</t>
  </si>
  <si>
    <t xml:space="preserve">Purpose / allowed values</t>
  </si>
  <si>
    <t xml:space="preserve">Account</t>
  </si>
  <si>
    <t xml:space="preserve">Text</t>
  </si>
  <si>
    <t xml:space="preserve">Parent company (e.g. 'Doğuş Hospitality', 'Garanti BBVA')</t>
  </si>
  <si>
    <t xml:space="preserve">Specific project name (e.g. 'Grand Tarabya – Fairmont')</t>
  </si>
  <si>
    <t xml:space="preserve">Owner / Rep</t>
  </si>
  <si>
    <t xml:space="preserve">Picklist</t>
  </si>
  <si>
    <t xml:space="preserve">Burçin / Zeynep / İrem / Elif / Balamir</t>
  </si>
  <si>
    <t xml:space="preserve">Industry</t>
  </si>
  <si>
    <t xml:space="preserve">Hospitality / Office / Yacht / Retail / Bank / Residential / Other</t>
  </si>
  <si>
    <t xml:space="preserve">Lead Source</t>
  </si>
  <si>
    <t xml:space="preserve">Architect referral / Existing client / Outbound / Showroom / Inbound / Event</t>
  </si>
  <si>
    <t xml:space="preserve">TOFU / MOFU / BOFU / Won / Lost</t>
  </si>
  <si>
    <t xml:space="preserve">Stage-Entered Date</t>
  </si>
  <si>
    <t xml:space="preserve">Auto-set when stage changes — drives velocity</t>
  </si>
  <si>
    <t xml:space="preserve">Number</t>
  </si>
  <si>
    <t xml:space="preserve">MOFU+</t>
  </si>
  <si>
    <t xml:space="preserve">Numeric EUR only; no text</t>
  </si>
  <si>
    <t xml:space="preserve">Realistic sign-date; must be a date, not 'soon'</t>
  </si>
  <si>
    <t xml:space="preserve">10 / 20 / 30 / 50 / 70 / 80 / 90 / 100</t>
  </si>
  <si>
    <t xml:space="preserve">Compelling Event</t>
  </si>
  <si>
    <t xml:space="preserve">Opening, season, move-in, lease end etc.</t>
  </si>
  <si>
    <t xml:space="preserve">Yes/No</t>
  </si>
  <si>
    <t xml:space="preserve">Standardize — replaces 'evet' / 'yes' / 'hayır' mix</t>
  </si>
  <si>
    <t xml:space="preserve">Recommended</t>
  </si>
  <si>
    <t xml:space="preserve">Link to Architects table</t>
  </si>
  <si>
    <t xml:space="preserve">Decision Maker Name</t>
  </si>
  <si>
    <t xml:space="preserve">Plus role / email / phone</t>
  </si>
  <si>
    <t xml:space="preserve">Competitor</t>
  </si>
  <si>
    <t xml:space="preserve">Specific competitor, not just Yes/No</t>
  </si>
  <si>
    <t xml:space="preserve">What is the single next action</t>
  </si>
  <si>
    <t xml:space="preserve">Next Step Owner</t>
  </si>
  <si>
    <t xml:space="preserve">Rep / Architect / Client — who owns it</t>
  </si>
  <si>
    <t xml:space="preserve">Next Step Due</t>
  </si>
  <si>
    <t xml:space="preserve">Drives the weekly cadence</t>
  </si>
  <si>
    <t xml:space="preserve">Last Activity Date</t>
  </si>
  <si>
    <t xml:space="preserve">Auto</t>
  </si>
  <si>
    <t xml:space="preserve">Auto-updated when any field changes</t>
  </si>
  <si>
    <t xml:space="preserve">Products / Category</t>
  </si>
  <si>
    <t xml:space="preserve">Multi-picklist</t>
  </si>
  <si>
    <t xml:space="preserve">Seating / Tables / Lighting / Fabrics / Accessories</t>
  </si>
  <si>
    <t xml:space="preserve">Expected Margin %</t>
  </si>
  <si>
    <t xml:space="preserve">Percent</t>
  </si>
  <si>
    <t xml:space="preserve">For GM forecasting</t>
  </si>
  <si>
    <t xml:space="preserve">Lost Reason</t>
  </si>
  <si>
    <t xml:space="preserve">If Lost</t>
  </si>
  <si>
    <t xml:space="preserve">Ghosting / Budget / Competitor / Timing / Operation / Price / Product mismatch</t>
  </si>
  <si>
    <t xml:space="preserve">Won Order Date</t>
  </si>
  <si>
    <t xml:space="preserve">If Won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</si>
</sst>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€#,##0"/>
    <numFmt numFmtId="167" formatCode="0%"/>
    <numFmt numFmtId="168" formatCode="\€#,##0;[RED]&quot;(€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B7290"/>
      <name val="Arial"/>
      <family val="0"/>
      <charset val="1"/>
    </font>
    <font>
      <b val="true"/>
      <sz val="9"/>
      <color rgb="FF6B729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40486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EF2FB"/>
        <bgColor rgb="FFF4F6FB"/>
      </patternFill>
    </fill>
    <fill>
      <patternFill patternType="solid">
        <fgColor rgb="FF1F2B5E"/>
        <bgColor rgb="FF333399"/>
      </patternFill>
    </fill>
    <fill>
      <patternFill patternType="solid">
        <fgColor rgb="FFF4F6FB"/>
        <bgColor rgb="FFEEF2FB"/>
      </patternFill>
    </fill>
    <fill>
      <patternFill patternType="solid">
        <fgColor rgb="FFE6EAF5"/>
        <bgColor rgb="FFE2ECFF"/>
      </patternFill>
    </fill>
    <fill>
      <patternFill patternType="solid">
        <fgColor rgb="FFFFFBE6"/>
        <bgColor rgb="FFFFFFFF"/>
      </patternFill>
    </fill>
    <fill>
      <patternFill patternType="solid">
        <fgColor rgb="FFD6F7E9"/>
        <bgColor rgb="FFC9EED8"/>
      </patternFill>
    </fill>
    <fill>
      <patternFill patternType="solid">
        <fgColor rgb="FFFFEFD1"/>
        <bgColor rgb="FFFFFBE6"/>
      </patternFill>
    </fill>
    <fill>
      <patternFill patternType="solid">
        <fgColor rgb="FFE2ECFF"/>
        <bgColor rgb="FFE6EAF5"/>
      </patternFill>
    </fill>
    <fill>
      <patternFill patternType="solid">
        <fgColor rgb="FFC9EED8"/>
        <bgColor rgb="FFD6F7E9"/>
      </patternFill>
    </fill>
    <fill>
      <patternFill patternType="solid">
        <fgColor rgb="FFFFE1E1"/>
        <bgColor rgb="FFFFD6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6E4"/>
      </left>
      <right style="thin">
        <color rgb="FFD0D6E4"/>
      </right>
      <top style="thin">
        <color rgb="FFD0D6E4"/>
      </top>
      <bottom style="thin">
        <color rgb="FFD0D6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D6D6"/>
        </patternFill>
      </fill>
    </dxf>
    <dxf>
      <fill>
        <patternFill>
          <bgColor rgb="FFD6F7E9"/>
        </patternFill>
      </fill>
    </dxf>
    <dxf>
      <fill>
        <patternFill patternType="solid">
          <fgColor rgb="FF1F2B5E"/>
          <bgColor rgb="FF000000"/>
        </patternFill>
      </fill>
    </dxf>
    <dxf>
      <fill>
        <patternFill patternType="solid">
          <fgColor rgb="FFD6F7E9"/>
          <bgColor rgb="FF000000"/>
        </patternFill>
      </fill>
    </dxf>
    <dxf>
      <fill>
        <patternFill patternType="solid">
          <fgColor rgb="FFE2ECFF"/>
          <bgColor rgb="FF000000"/>
        </patternFill>
      </fill>
    </dxf>
    <dxf>
      <fill>
        <patternFill patternType="solid">
          <fgColor rgb="FFFFEFD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F6FB"/>
          <bgColor rgb="FF000000"/>
        </patternFill>
      </fill>
    </dxf>
    <dxf>
      <fill>
        <patternFill patternType="solid">
          <fgColor rgb="FFFFD6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EAF5"/>
      <rgbColor rgb="FF808080"/>
      <rgbColor rgb="FF9999FF"/>
      <rgbColor rgb="FF993366"/>
      <rgbColor rgb="FFFFFBE6"/>
      <rgbColor rgb="FFD6F7E9"/>
      <rgbColor rgb="FF660066"/>
      <rgbColor rgb="FFFF8080"/>
      <rgbColor rgb="FF0066CC"/>
      <rgbColor rgb="FFD0D6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CFF"/>
      <rgbColor rgb="FFC9EED8"/>
      <rgbColor rgb="FFFFEFD1"/>
      <rgbColor rgb="FFEEF2FB"/>
      <rgbColor rgb="FFFFE1E1"/>
      <rgbColor rgb="FFF4F6FB"/>
      <rgbColor rgb="FFFFD6D6"/>
      <rgbColor rgb="FF3366FF"/>
      <rgbColor rgb="FF33CCCC"/>
      <rgbColor rgb="FF99CC00"/>
      <rgbColor rgb="FFFFCC00"/>
      <rgbColor rgb="FFFF9900"/>
      <rgbColor rgb="FFFF6600"/>
      <rgbColor rgb="FF6B7290"/>
      <rgbColor rgb="FF969696"/>
      <rgbColor rgb="FF1F2B5E"/>
      <rgbColor rgb="FF339966"/>
      <rgbColor rgb="FF003300"/>
      <rgbColor rgb="FF333300"/>
      <rgbColor rgb="FF993300"/>
      <rgbColor rgb="FF993366"/>
      <rgbColor rgb="FF333399"/>
      <rgbColor rgb="FF4048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33.75" hidden="false" customHeight="true" outlineLevel="0" collapsed="false">
      <c r="B6" s="4" t="n">
        <f aca="false">COUNTA(Opportunities!C2:C108)</f>
        <v>107</v>
      </c>
      <c r="C6" s="5" t="n">
        <f aca="false">SUM(Opportunities!D2:D108)</f>
        <v>12872043</v>
      </c>
      <c r="D6" s="5" t="n">
        <f aca="false">SUMPRODUCT(IFERROR(Opportunities!D2:D108*Opportunities!F2:F108,0))</f>
        <v>6946629.51</v>
      </c>
      <c r="E6" s="5" t="n">
        <f aca="false">IFERROR(SUM(Opportunities!D2:D108)/COUNT(Opportunities!D2:D108),0)</f>
        <v>171627.24</v>
      </c>
    </row>
    <row r="9" customFormat="false" ht="15" hidden="false" customHeight="false" outlineLevel="0" collapsed="false">
      <c r="B9" s="6" t="s">
        <v>6</v>
      </c>
    </row>
    <row r="10" customFormat="false" ht="27.75" hidden="false" customHeight="tru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</row>
    <row r="11" customFormat="false" ht="15" hidden="false" customHeight="false" outlineLevel="0" collapsed="false">
      <c r="A11" s="8"/>
      <c r="B11" s="9" t="s">
        <v>13</v>
      </c>
      <c r="C11" s="9" t="n">
        <f aca="false">COUNTIF(Opportunities!A2:A108,"TOFU")</f>
        <v>44</v>
      </c>
      <c r="D11" s="10" t="n">
        <f aca="false">SUMIF(Opportunities!A2:A108,"TOFU",Opportunities!D2:D108)</f>
        <v>1159000</v>
      </c>
      <c r="E11" s="10" t="n">
        <f aca="false">SUMPRODUCT((Opportunities!A2:A108="TOFU")*IFERROR(Opportunities!D2:D108*Opportunities!F2:F108,0))</f>
        <v>231800</v>
      </c>
      <c r="F11" s="11" t="n">
        <f aca="false">IFERROR(AVERAGEIFS(Opportunities!F2:F108,Opportunities!A2:A108,"TOFU"),0)</f>
        <v>0.56421052631579</v>
      </c>
      <c r="G11" s="10" t="n">
        <f aca="false">IFERROR(AVERAGEIFS(Opportunities!D2:D108,Opportunities!A2:A108,"TOFU"),0)</f>
        <v>68176.4705882353</v>
      </c>
    </row>
    <row r="12" customFormat="false" ht="15" hidden="false" customHeight="false" outlineLevel="0" collapsed="false">
      <c r="A12" s="12"/>
      <c r="B12" s="13" t="s">
        <v>14</v>
      </c>
      <c r="C12" s="13" t="n">
        <f aca="false">COUNTIF(Opportunities!A2:A108,"MOFU")</f>
        <v>30</v>
      </c>
      <c r="D12" s="14" t="n">
        <f aca="false">SUMIF(Opportunities!A2:A108,"MOFU",Opportunities!D2:D108)</f>
        <v>4063280</v>
      </c>
      <c r="E12" s="14" t="n">
        <f aca="false">SUMPRODUCT((Opportunities!A2:A108="MOFU")*IFERROR(Opportunities!D2:D108*Opportunities!F2:F108,0))</f>
        <v>1828054</v>
      </c>
      <c r="F12" s="15" t="n">
        <f aca="false">IFERROR(AVERAGEIFS(Opportunities!F2:F108,Opportunities!A2:A108,"MOFU"),0)</f>
        <v>0.447037037037037</v>
      </c>
      <c r="G12" s="14" t="n">
        <f aca="false">IFERROR(AVERAGEIFS(Opportunities!D2:D108,Opportunities!A2:A108,"MOFU"),0)</f>
        <v>162531.2</v>
      </c>
    </row>
    <row r="13" customFormat="false" ht="15" hidden="false" customHeight="false" outlineLevel="0" collapsed="false">
      <c r="A13" s="8"/>
      <c r="B13" s="9" t="s">
        <v>15</v>
      </c>
      <c r="C13" s="9" t="n">
        <f aca="false">COUNTIF(Opportunities!A2:A108,"BOFU")</f>
        <v>33</v>
      </c>
      <c r="D13" s="10" t="n">
        <f aca="false">SUMIF(Opportunities!A2:A108,"BOFU",Opportunities!D2:D108)</f>
        <v>7649763</v>
      </c>
      <c r="E13" s="10" t="n">
        <f aca="false">SUMPRODUCT((Opportunities!A2:A108="BOFU")*IFERROR(Opportunities!D2:D108*Opportunities!F2:F108,0))</f>
        <v>4886775.51</v>
      </c>
      <c r="F13" s="11" t="n">
        <f aca="false">IFERROR(AVERAGEIFS(Opportunities!F2:F108,Opportunities!A2:A108,"BOFU"),0)</f>
        <v>0.682727272727273</v>
      </c>
      <c r="G13" s="10" t="n">
        <f aca="false">IFERROR(AVERAGEIFS(Opportunities!D2:D108,Opportunities!A2:A108,"BOFU"),0)</f>
        <v>231811</v>
      </c>
    </row>
    <row r="14" customFormat="false" ht="15" hidden="false" customHeight="false" outlineLevel="0" collapsed="false">
      <c r="A14" s="12"/>
      <c r="B14" s="16" t="s">
        <v>16</v>
      </c>
      <c r="C14" s="13" t="n">
        <f aca="false">SUM(C11:C13)</f>
        <v>107</v>
      </c>
      <c r="D14" s="14" t="n">
        <f aca="false">SUM(D11:D13)</f>
        <v>12872043</v>
      </c>
      <c r="E14" s="14" t="n">
        <f aca="false">SUM(E11:E13)</f>
        <v>6946629.51</v>
      </c>
      <c r="F14" s="15"/>
      <c r="G14" s="14" t="n">
        <f aca="false">IFERROR(D14/C14,0)</f>
        <v>120299.46728972</v>
      </c>
    </row>
    <row r="17" customFormat="false" ht="15" hidden="false" customHeight="false" outlineLevel="0" collapsed="false">
      <c r="B17" s="6" t="s">
        <v>17</v>
      </c>
    </row>
    <row r="18" customFormat="false" ht="27.75" hidden="false" customHeight="true" outlineLevel="0" collapsed="false">
      <c r="A18" s="7" t="s">
        <v>18</v>
      </c>
      <c r="B18" s="7" t="s">
        <v>8</v>
      </c>
      <c r="C18" s="7" t="s">
        <v>9</v>
      </c>
      <c r="D18" s="7" t="s">
        <v>10</v>
      </c>
      <c r="E18" s="7" t="s">
        <v>13</v>
      </c>
      <c r="F18" s="7" t="s">
        <v>14</v>
      </c>
      <c r="G18" s="7" t="s">
        <v>15</v>
      </c>
    </row>
    <row r="19" customFormat="false" ht="15" hidden="false" customHeight="false" outlineLevel="0" collapsed="false">
      <c r="A19" s="8"/>
      <c r="B19" s="8" t="s">
        <v>19</v>
      </c>
      <c r="C19" s="9" t="n">
        <f aca="false">COUNTIF(Opportunities!B2:B108,"Burçin")</f>
        <v>35</v>
      </c>
      <c r="D19" s="10" t="n">
        <f aca="false">SUMIF(Opportunities!B2:B108,"Burçin",Opportunities!D2:D108)</f>
        <v>2469530</v>
      </c>
      <c r="E19" s="10" t="n">
        <f aca="false">SUMPRODUCT((Opportunities!B2:B108="Burçin")*IFERROR(Opportunities!D2:D108*Opportunities!F2:F108,0))</f>
        <v>1640966.5</v>
      </c>
      <c r="F19" s="9" t="n">
        <f aca="false">COUNTIFS(Opportunities!B2:B108,"Burçin",Opportunities!A2:A108,"TOFU")</f>
        <v>19</v>
      </c>
      <c r="G19" s="9" t="n">
        <f aca="false">COUNTIFS(Opportunities!B2:B108,"Burçin",Opportunities!A2:A108,"MOFU")</f>
        <v>8</v>
      </c>
      <c r="H19" s="9" t="n">
        <f aca="false">COUNTIFS(Opportunities!B2:B108,"Burçin",Opportunities!A2:A108,"BOFU")</f>
        <v>8</v>
      </c>
    </row>
    <row r="20" customFormat="false" ht="15" hidden="false" customHeight="false" outlineLevel="0" collapsed="false">
      <c r="A20" s="12"/>
      <c r="B20" s="12" t="s">
        <v>20</v>
      </c>
      <c r="C20" s="13" t="n">
        <f aca="false">COUNTIF(Opportunities!B2:B108,"Zeynep")</f>
        <v>28</v>
      </c>
      <c r="D20" s="14" t="n">
        <f aca="false">SUMIF(Opportunities!B2:B108,"Zeynep",Opportunities!D2:D108)</f>
        <v>5977700</v>
      </c>
      <c r="E20" s="14" t="n">
        <f aca="false">SUMPRODUCT((Opportunities!B2:B108="Zeynep")*IFERROR(Opportunities!D2:D108*Opportunities!F2:F108,0))</f>
        <v>3869530</v>
      </c>
      <c r="F20" s="13" t="n">
        <f aca="false">COUNTIFS(Opportunities!B2:B108,"Zeynep",Opportunities!A2:A108,"TOFU")</f>
        <v>13</v>
      </c>
      <c r="G20" s="13" t="n">
        <f aca="false">COUNTIFS(Opportunities!B2:B108,"Zeynep",Opportunities!A2:A108,"MOFU")</f>
        <v>5</v>
      </c>
      <c r="H20" s="13" t="n">
        <f aca="false">COUNTIFS(Opportunities!B2:B108,"Zeynep",Opportunities!A2:A108,"BOFU")</f>
        <v>10</v>
      </c>
    </row>
    <row r="21" customFormat="false" ht="15" hidden="false" customHeight="false" outlineLevel="0" collapsed="false">
      <c r="A21" s="8"/>
      <c r="B21" s="8" t="s">
        <v>21</v>
      </c>
      <c r="C21" s="9" t="n">
        <f aca="false">COUNTIF(Opportunities!B2:B108,"İrem")</f>
        <v>29</v>
      </c>
      <c r="D21" s="10" t="n">
        <f aca="false">SUMIF(Opportunities!B2:B108,"İrem",Opportunities!D2:D108)</f>
        <v>2540000</v>
      </c>
      <c r="E21" s="10" t="n">
        <f aca="false">SUMPRODUCT((Opportunities!B2:B108="İrem")*IFERROR(Opportunities!D2:D108*Opportunities!F2:F108,0))</f>
        <v>879700</v>
      </c>
      <c r="F21" s="9" t="n">
        <f aca="false">COUNTIFS(Opportunities!B2:B108,"İrem",Opportunities!A2:A108,"TOFU")</f>
        <v>6</v>
      </c>
      <c r="G21" s="9" t="n">
        <f aca="false">COUNTIFS(Opportunities!B2:B108,"İrem",Opportunities!A2:A108,"MOFU")</f>
        <v>13</v>
      </c>
      <c r="H21" s="9" t="n">
        <f aca="false">COUNTIFS(Opportunities!B2:B108,"İrem",Opportunities!A2:A108,"BOFU")</f>
        <v>10</v>
      </c>
    </row>
    <row r="22" customFormat="false" ht="15" hidden="false" customHeight="false" outlineLevel="0" collapsed="false">
      <c r="A22" s="12"/>
      <c r="B22" s="12" t="s">
        <v>22</v>
      </c>
      <c r="C22" s="13" t="n">
        <f aca="false">COUNTIF(Opportunities!B2:B108,"Elif")</f>
        <v>15</v>
      </c>
      <c r="D22" s="14" t="n">
        <f aca="false">SUMIF(Opportunities!B2:B108,"Elif",Opportunities!D2:D108)</f>
        <v>1884813</v>
      </c>
      <c r="E22" s="14" t="n">
        <f aca="false">SUMPRODUCT((Opportunities!B2:B108="Elif")*IFERROR(Opportunities!D2:D108*Opportunities!F2:F108,0))</f>
        <v>556433.01</v>
      </c>
      <c r="F22" s="13" t="n">
        <f aca="false">COUNTIFS(Opportunities!B2:B108,"Elif",Opportunities!A2:A108,"TOFU")</f>
        <v>6</v>
      </c>
      <c r="G22" s="13" t="n">
        <f aca="false">COUNTIFS(Opportunities!B2:B108,"Elif",Opportunities!A2:A108,"MOFU")</f>
        <v>4</v>
      </c>
      <c r="H22" s="13" t="n">
        <f aca="false">COUNTIFS(Opportunities!B2:B108,"Elif",Opportunities!A2:A108,"BOFU")</f>
        <v>5</v>
      </c>
    </row>
    <row r="25" customFormat="false" ht="15" hidden="false" customHeight="false" outlineLevel="0" collapsed="false">
      <c r="B25" s="6" t="s">
        <v>23</v>
      </c>
    </row>
    <row r="26" customFormat="false" ht="27.75" hidden="false" customHeight="true" outlineLevel="0" collapsed="false">
      <c r="A26" s="7" t="s">
        <v>24</v>
      </c>
      <c r="B26" s="7" t="s">
        <v>25</v>
      </c>
      <c r="C26" s="7" t="s">
        <v>26</v>
      </c>
      <c r="D26" s="7" t="s">
        <v>27</v>
      </c>
      <c r="E26" s="7" t="s">
        <v>28</v>
      </c>
    </row>
    <row r="27" customFormat="false" ht="15" hidden="false" customHeight="false" outlineLevel="0" collapsed="false">
      <c r="A27" s="8"/>
      <c r="B27" s="8" t="s">
        <v>29</v>
      </c>
      <c r="C27" s="9" t="n">
        <f aca="false">COUNTIF(Opportunities!H2:H108,"Yes")+COUNTIF(Opportunities!H2:H108,"No")</f>
        <v>88</v>
      </c>
      <c r="D27" s="9" t="n">
        <f aca="false">COUNTIF(Opportunities!H2:H108,"Yes")</f>
        <v>54</v>
      </c>
      <c r="E27" s="9" t="n">
        <f aca="false">COUNTIF(Opportunities!H2:H108,"No")</f>
        <v>34</v>
      </c>
      <c r="F27" s="11" t="n">
        <f aca="false">IFERROR(C27/COUNTA(Opportunities!H2:H108),0)</f>
        <v>0.822429906542056</v>
      </c>
    </row>
    <row r="28" customFormat="false" ht="15" hidden="false" customHeight="false" outlineLevel="0" collapsed="false">
      <c r="A28" s="12"/>
      <c r="B28" s="12" t="s">
        <v>30</v>
      </c>
      <c r="C28" s="13" t="n">
        <f aca="false">COUNTIF(Opportunities!I2:I108,"Yes")+COUNTIF(Opportunities!I2:I108,"No")</f>
        <v>83</v>
      </c>
      <c r="D28" s="13" t="n">
        <f aca="false">COUNTIF(Opportunities!I2:I108,"Yes")</f>
        <v>70</v>
      </c>
      <c r="E28" s="13" t="n">
        <f aca="false">COUNTIF(Opportunities!I2:I108,"No")</f>
        <v>13</v>
      </c>
      <c r="F28" s="15" t="n">
        <f aca="false">IFERROR(C28/COUNTA(Opportunities!I2:I108),0)</f>
        <v>0.775700934579439</v>
      </c>
    </row>
    <row r="29" customFormat="false" ht="15" hidden="false" customHeight="false" outlineLevel="0" collapsed="false">
      <c r="A29" s="8"/>
      <c r="B29" s="8" t="s">
        <v>31</v>
      </c>
      <c r="C29" s="9" t="n">
        <f aca="false">COUNTIF(Opportunities!J2:J108,"Yes")+COUNTIF(Opportunities!J2:J108,"No")</f>
        <v>71</v>
      </c>
      <c r="D29" s="9" t="n">
        <f aca="false">COUNTIF(Opportunities!J2:J108,"Yes")</f>
        <v>37</v>
      </c>
      <c r="E29" s="9" t="n">
        <f aca="false">COUNTIF(Opportunities!J2:J108,"No")</f>
        <v>34</v>
      </c>
      <c r="F29" s="11" t="n">
        <f aca="false">IFERROR(C29/COUNTA(Opportunities!J2:J108),0)</f>
        <v>0.663551401869159</v>
      </c>
    </row>
    <row r="30" customFormat="false" ht="15" hidden="false" customHeight="false" outlineLevel="0" collapsed="false">
      <c r="A30" s="12"/>
      <c r="B30" s="12" t="s">
        <v>32</v>
      </c>
      <c r="C30" s="13" t="n">
        <f aca="false">COUNTIF(Opportunities!K2:K108,"Yes")+COUNTIF(Opportunities!K2:K108,"No")</f>
        <v>75</v>
      </c>
      <c r="D30" s="13" t="n">
        <f aca="false">COUNTIF(Opportunities!K2:K108,"Yes")</f>
        <v>65</v>
      </c>
      <c r="E30" s="13" t="n">
        <f aca="false">COUNTIF(Opportunities!K2:K108,"No")</f>
        <v>10</v>
      </c>
      <c r="F30" s="15" t="n">
        <f aca="false">IFERROR(C30/COUNTA(Opportunities!K2:K108),0)</f>
        <v>0.700934579439252</v>
      </c>
    </row>
    <row r="31" customFormat="false" ht="15" hidden="false" customHeight="false" outlineLevel="0" collapsed="false">
      <c r="A31" s="8"/>
      <c r="B31" s="8" t="s">
        <v>33</v>
      </c>
      <c r="C31" s="9" t="n">
        <f aca="false">COUNTIF(Opportunities!L2:L108,"Yes")+COUNTIF(Opportunities!L2:L108,"No")</f>
        <v>68</v>
      </c>
      <c r="D31" s="9" t="n">
        <f aca="false">COUNTIF(Opportunities!L2:L108,"Yes")</f>
        <v>43</v>
      </c>
      <c r="E31" s="9" t="n">
        <f aca="false">COUNTIF(Opportunities!L2:L108,"No")</f>
        <v>25</v>
      </c>
      <c r="F31" s="11" t="n">
        <f aca="false">IFERROR(C31/COUNTA(Opportunities!L2:L108),0)</f>
        <v>0.635514018691589</v>
      </c>
    </row>
    <row r="34" customFormat="false" ht="15" hidden="false" customHeight="false" outlineLevel="0" collapsed="false">
      <c r="B34" s="6" t="s">
        <v>34</v>
      </c>
    </row>
    <row r="35" customFormat="false" ht="15" hidden="false" customHeight="true" outlineLevel="0" collapsed="false">
      <c r="B35" s="17" t="s">
        <v>35</v>
      </c>
      <c r="C35" s="17"/>
      <c r="D35" s="17"/>
      <c r="E35" s="17"/>
      <c r="F35" s="17"/>
      <c r="G35" s="17"/>
    </row>
    <row r="36" customFormat="false" ht="15" hidden="false" customHeight="false" outlineLevel="0" collapsed="false">
      <c r="B36" s="17"/>
      <c r="C36" s="17"/>
      <c r="D36" s="17"/>
      <c r="E36" s="17"/>
      <c r="F36" s="17"/>
      <c r="G36" s="17"/>
    </row>
  </sheetData>
  <mergeCells count="1">
    <mergeCell ref="B35:G36"/>
  </mergeCells>
  <conditionalFormatting sqref="F27:F31">
    <cfRule type="cellIs" priority="2" operator="lessThan" aboveAverage="0" equalAverage="0" bottom="0" percent="0" rank="0" text="" dxfId="0">
      <formula>0.6</formula>
    </cfRule>
    <cfRule type="cellIs" priority="3" operator="greaterThanOrEqual" aboveAverage="0" equalAverage="0" bottom="0" percent="0" rank="0" text="" dxfId="1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12" min="8" style="0" width="11"/>
    <col collapsed="false" customWidth="true" hidden="false" outlineLevel="0" max="13" min="13" style="0" width="22"/>
    <col collapsed="false" customWidth="true" hidden="false" outlineLevel="0" max="14" min="14" style="0" width="50"/>
    <col collapsed="false" customWidth="true" hidden="false" outlineLevel="0" max="15" min="15" style="0" width="11"/>
  </cols>
  <sheetData>
    <row r="1" customFormat="false" ht="27.75" hidden="false" customHeight="true" outlineLevel="0" collapsed="false">
      <c r="A1" s="7" t="s">
        <v>7</v>
      </c>
      <c r="B1" s="7" t="s">
        <v>18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41</v>
      </c>
      <c r="N1" s="7" t="s">
        <v>42</v>
      </c>
      <c r="O1" s="7" t="s">
        <v>43</v>
      </c>
    </row>
    <row r="2" customFormat="false" ht="23.85" hidden="false" customHeight="false" outlineLevel="0" collapsed="false">
      <c r="A2" s="18" t="s">
        <v>15</v>
      </c>
      <c r="B2" s="12" t="s">
        <v>20</v>
      </c>
      <c r="C2" s="12" t="s">
        <v>44</v>
      </c>
      <c r="D2" s="19" t="n">
        <v>1000000</v>
      </c>
      <c r="E2" s="12" t="s">
        <v>45</v>
      </c>
      <c r="F2" s="15" t="n">
        <v>0.85</v>
      </c>
      <c r="G2" s="19" t="n">
        <f aca="false">IFERROR(D2*F2,"")</f>
        <v>850000</v>
      </c>
      <c r="H2" s="13" t="s">
        <v>26</v>
      </c>
      <c r="I2" s="13" t="s">
        <v>26</v>
      </c>
      <c r="J2" s="13" t="s">
        <v>26</v>
      </c>
      <c r="K2" s="13" t="s">
        <v>26</v>
      </c>
      <c r="L2" s="13" t="s">
        <v>26</v>
      </c>
      <c r="M2" s="12"/>
      <c r="N2" s="12" t="s">
        <v>46</v>
      </c>
      <c r="O2" s="20" t="n">
        <f aca="false">COUNTIF(H2:L2,"Yes")+COUNTIF(H2:L2,"No")</f>
        <v>5</v>
      </c>
    </row>
    <row r="3" customFormat="false" ht="23.85" hidden="false" customHeight="false" outlineLevel="0" collapsed="false">
      <c r="A3" s="18" t="s">
        <v>15</v>
      </c>
      <c r="B3" s="8" t="s">
        <v>19</v>
      </c>
      <c r="C3" s="8" t="s">
        <v>47</v>
      </c>
      <c r="D3" s="21" t="n">
        <v>1200000</v>
      </c>
      <c r="E3" s="8" t="s">
        <v>48</v>
      </c>
      <c r="F3" s="11" t="n">
        <v>0.55</v>
      </c>
      <c r="G3" s="21" t="n">
        <f aca="false">IFERROR(D3*F3,"")</f>
        <v>660000</v>
      </c>
      <c r="H3" s="9" t="s">
        <v>26</v>
      </c>
      <c r="I3" s="9" t="s">
        <v>26</v>
      </c>
      <c r="J3" s="9" t="s">
        <v>49</v>
      </c>
      <c r="K3" s="9" t="s">
        <v>26</v>
      </c>
      <c r="L3" s="9" t="s">
        <v>26</v>
      </c>
      <c r="M3" s="8"/>
      <c r="N3" s="8" t="s">
        <v>50</v>
      </c>
      <c r="O3" s="22" t="n">
        <f aca="false">COUNTIF(H3:L3,"Yes")+COUNTIF(H3:L3,"No")</f>
        <v>4</v>
      </c>
    </row>
    <row r="4" customFormat="false" ht="23.85" hidden="false" customHeight="false" outlineLevel="0" collapsed="false">
      <c r="A4" s="18" t="s">
        <v>15</v>
      </c>
      <c r="B4" s="12" t="s">
        <v>20</v>
      </c>
      <c r="C4" s="12" t="s">
        <v>51</v>
      </c>
      <c r="D4" s="19" t="n">
        <v>900000</v>
      </c>
      <c r="E4" s="12" t="s">
        <v>52</v>
      </c>
      <c r="F4" s="15" t="n">
        <v>0.7</v>
      </c>
      <c r="G4" s="19" t="n">
        <f aca="false">IFERROR(D4*F4,"")</f>
        <v>630000</v>
      </c>
      <c r="H4" s="13" t="s">
        <v>26</v>
      </c>
      <c r="I4" s="13" t="s">
        <v>26</v>
      </c>
      <c r="J4" s="13" t="s">
        <v>49</v>
      </c>
      <c r="K4" s="13" t="s">
        <v>26</v>
      </c>
      <c r="L4" s="13" t="s">
        <v>26</v>
      </c>
      <c r="M4" s="12"/>
      <c r="N4" s="12" t="s">
        <v>53</v>
      </c>
      <c r="O4" s="20" t="n">
        <f aca="false">COUNTIF(H4:L4,"Yes")+COUNTIF(H4:L4,"No")</f>
        <v>4</v>
      </c>
    </row>
    <row r="5" customFormat="false" ht="15" hidden="false" customHeight="false" outlineLevel="0" collapsed="false">
      <c r="A5" s="18" t="s">
        <v>15</v>
      </c>
      <c r="B5" s="8" t="s">
        <v>20</v>
      </c>
      <c r="C5" s="8" t="s">
        <v>54</v>
      </c>
      <c r="D5" s="21" t="n">
        <v>458000</v>
      </c>
      <c r="E5" s="8" t="s">
        <v>55</v>
      </c>
      <c r="F5" s="11" t="n">
        <v>0.85</v>
      </c>
      <c r="G5" s="21" t="n">
        <f aca="false">IFERROR(D5*F5,"")</f>
        <v>389300</v>
      </c>
      <c r="H5" s="9" t="s">
        <v>26</v>
      </c>
      <c r="I5" s="9" t="s">
        <v>26</v>
      </c>
      <c r="J5" s="9" t="s">
        <v>26</v>
      </c>
      <c r="K5" s="9" t="s">
        <v>26</v>
      </c>
      <c r="L5" s="9" t="s">
        <v>27</v>
      </c>
      <c r="M5" s="8"/>
      <c r="N5" s="8" t="s">
        <v>56</v>
      </c>
      <c r="O5" s="22" t="n">
        <f aca="false">COUNTIF(H5:L5,"Yes")+COUNTIF(H5:L5,"No")</f>
        <v>5</v>
      </c>
    </row>
    <row r="6" customFormat="false" ht="15" hidden="false" customHeight="false" outlineLevel="0" collapsed="false">
      <c r="A6" s="18" t="s">
        <v>15</v>
      </c>
      <c r="B6" s="12" t="s">
        <v>20</v>
      </c>
      <c r="C6" s="12" t="s">
        <v>57</v>
      </c>
      <c r="D6" s="19" t="n">
        <v>448000</v>
      </c>
      <c r="E6" s="12" t="s">
        <v>58</v>
      </c>
      <c r="F6" s="15" t="n">
        <v>0.8</v>
      </c>
      <c r="G6" s="19" t="n">
        <f aca="false">IFERROR(D6*F6,"")</f>
        <v>358400</v>
      </c>
      <c r="H6" s="13" t="s">
        <v>26</v>
      </c>
      <c r="I6" s="13" t="s">
        <v>26</v>
      </c>
      <c r="J6" s="13" t="s">
        <v>26</v>
      </c>
      <c r="K6" s="13" t="s">
        <v>26</v>
      </c>
      <c r="L6" s="13" t="s">
        <v>26</v>
      </c>
      <c r="M6" s="12"/>
      <c r="N6" s="12" t="s">
        <v>59</v>
      </c>
      <c r="O6" s="20" t="n">
        <f aca="false">COUNTIF(H6:L6,"Yes")+COUNTIF(H6:L6,"No")</f>
        <v>5</v>
      </c>
    </row>
    <row r="7" customFormat="false" ht="23.85" hidden="false" customHeight="false" outlineLevel="0" collapsed="false">
      <c r="A7" s="18" t="s">
        <v>15</v>
      </c>
      <c r="B7" s="8" t="s">
        <v>19</v>
      </c>
      <c r="C7" s="8" t="s">
        <v>60</v>
      </c>
      <c r="D7" s="21" t="n">
        <v>328000</v>
      </c>
      <c r="E7" s="8" t="s">
        <v>61</v>
      </c>
      <c r="F7" s="11" t="n">
        <v>1</v>
      </c>
      <c r="G7" s="21" t="n">
        <f aca="false">IFERROR(D7*F7,"")</f>
        <v>328000</v>
      </c>
      <c r="H7" s="9" t="s">
        <v>26</v>
      </c>
      <c r="I7" s="9" t="s">
        <v>26</v>
      </c>
      <c r="J7" s="9" t="s">
        <v>26</v>
      </c>
      <c r="K7" s="9" t="s">
        <v>26</v>
      </c>
      <c r="L7" s="9" t="s">
        <v>26</v>
      </c>
      <c r="M7" s="8"/>
      <c r="N7" s="8" t="s">
        <v>62</v>
      </c>
      <c r="O7" s="22" t="n">
        <f aca="false">COUNTIF(H7:L7,"Yes")+COUNTIF(H7:L7,"No")</f>
        <v>5</v>
      </c>
    </row>
    <row r="8" customFormat="false" ht="23.85" hidden="false" customHeight="false" outlineLevel="0" collapsed="false">
      <c r="A8" s="18" t="s">
        <v>15</v>
      </c>
      <c r="B8" s="12" t="s">
        <v>22</v>
      </c>
      <c r="C8" s="12" t="s">
        <v>63</v>
      </c>
      <c r="D8" s="19" t="n">
        <v>279000</v>
      </c>
      <c r="E8" s="12" t="s">
        <v>64</v>
      </c>
      <c r="F8" s="15" t="n">
        <v>1</v>
      </c>
      <c r="G8" s="19" t="n">
        <f aca="false">IFERROR(D8*F8,"")</f>
        <v>279000</v>
      </c>
      <c r="H8" s="13" t="s">
        <v>26</v>
      </c>
      <c r="I8" s="13" t="s">
        <v>26</v>
      </c>
      <c r="J8" s="13" t="s">
        <v>26</v>
      </c>
      <c r="K8" s="13" t="s">
        <v>26</v>
      </c>
      <c r="L8" s="13" t="s">
        <v>27</v>
      </c>
      <c r="M8" s="12"/>
      <c r="N8" s="12" t="s">
        <v>65</v>
      </c>
      <c r="O8" s="20" t="n">
        <f aca="false">COUNTIF(H8:L8,"Yes")+COUNTIF(H8:L8,"No")</f>
        <v>5</v>
      </c>
    </row>
    <row r="9" customFormat="false" ht="15" hidden="false" customHeight="false" outlineLevel="0" collapsed="false">
      <c r="A9" s="18" t="s">
        <v>15</v>
      </c>
      <c r="B9" s="8" t="s">
        <v>20</v>
      </c>
      <c r="C9" s="8" t="s">
        <v>66</v>
      </c>
      <c r="D9" s="21" t="n">
        <v>125000</v>
      </c>
      <c r="E9" s="8" t="s">
        <v>67</v>
      </c>
      <c r="F9" s="11" t="n">
        <v>0.9</v>
      </c>
      <c r="G9" s="21" t="n">
        <f aca="false">IFERROR(D9*F9,"")</f>
        <v>112500</v>
      </c>
      <c r="H9" s="9" t="s">
        <v>26</v>
      </c>
      <c r="I9" s="9" t="s">
        <v>26</v>
      </c>
      <c r="J9" s="9" t="s">
        <v>26</v>
      </c>
      <c r="K9" s="9" t="s">
        <v>26</v>
      </c>
      <c r="L9" s="9" t="s">
        <v>26</v>
      </c>
      <c r="M9" s="8"/>
      <c r="N9" s="8" t="s">
        <v>68</v>
      </c>
      <c r="O9" s="22" t="n">
        <f aca="false">COUNTIF(H9:L9,"Yes")+COUNTIF(H9:L9,"No")</f>
        <v>5</v>
      </c>
    </row>
    <row r="10" customFormat="false" ht="15" hidden="false" customHeight="false" outlineLevel="0" collapsed="false">
      <c r="A10" s="18" t="s">
        <v>15</v>
      </c>
      <c r="B10" s="12" t="s">
        <v>20</v>
      </c>
      <c r="C10" s="12" t="s">
        <v>69</v>
      </c>
      <c r="D10" s="19" t="n">
        <v>200000</v>
      </c>
      <c r="E10" s="12" t="s">
        <v>67</v>
      </c>
      <c r="F10" s="15" t="n">
        <v>0.5</v>
      </c>
      <c r="G10" s="19" t="n">
        <f aca="false">IFERROR(D10*F10,"")</f>
        <v>100000</v>
      </c>
      <c r="H10" s="13" t="s">
        <v>26</v>
      </c>
      <c r="I10" s="13" t="s">
        <v>26</v>
      </c>
      <c r="J10" s="13" t="s">
        <v>27</v>
      </c>
      <c r="K10" s="13" t="s">
        <v>26</v>
      </c>
      <c r="L10" s="13" t="s">
        <v>26</v>
      </c>
      <c r="M10" s="12"/>
      <c r="N10" s="12" t="s">
        <v>70</v>
      </c>
      <c r="O10" s="20" t="n">
        <f aca="false">COUNTIF(H10:L10,"Yes")+COUNTIF(H10:L10,"No")</f>
        <v>5</v>
      </c>
    </row>
    <row r="11" customFormat="false" ht="15" hidden="false" customHeight="false" outlineLevel="0" collapsed="false">
      <c r="A11" s="18" t="s">
        <v>15</v>
      </c>
      <c r="B11" s="8" t="s">
        <v>20</v>
      </c>
      <c r="C11" s="8" t="s">
        <v>71</v>
      </c>
      <c r="D11" s="21" t="n">
        <v>110000</v>
      </c>
      <c r="E11" s="8" t="s">
        <v>72</v>
      </c>
      <c r="F11" s="11" t="n">
        <v>0.9</v>
      </c>
      <c r="G11" s="21" t="n">
        <f aca="false">IFERROR(D11*F11,"")</f>
        <v>99000</v>
      </c>
      <c r="H11" s="9" t="s">
        <v>26</v>
      </c>
      <c r="I11" s="9" t="s">
        <v>26</v>
      </c>
      <c r="J11" s="9" t="s">
        <v>26</v>
      </c>
      <c r="K11" s="9" t="s">
        <v>26</v>
      </c>
      <c r="L11" s="9" t="s">
        <v>27</v>
      </c>
      <c r="M11" s="8"/>
      <c r="N11" s="8" t="s">
        <v>59</v>
      </c>
      <c r="O11" s="22" t="n">
        <f aca="false">COUNTIF(H11:L11,"Yes")+COUNTIF(H11:L11,"No")</f>
        <v>5</v>
      </c>
    </row>
    <row r="12" customFormat="false" ht="23.85" hidden="false" customHeight="false" outlineLevel="0" collapsed="false">
      <c r="A12" s="18" t="s">
        <v>15</v>
      </c>
      <c r="B12" s="12" t="s">
        <v>19</v>
      </c>
      <c r="C12" s="12" t="s">
        <v>73</v>
      </c>
      <c r="D12" s="19" t="n">
        <v>100000</v>
      </c>
      <c r="E12" s="12" t="s">
        <v>74</v>
      </c>
      <c r="F12" s="15" t="n">
        <v>0.97</v>
      </c>
      <c r="G12" s="19" t="n">
        <f aca="false">IFERROR(D12*F12,"")</f>
        <v>97000</v>
      </c>
      <c r="H12" s="13" t="s">
        <v>26</v>
      </c>
      <c r="I12" s="13" t="s">
        <v>26</v>
      </c>
      <c r="J12" s="13" t="s">
        <v>26</v>
      </c>
      <c r="K12" s="13" t="s">
        <v>26</v>
      </c>
      <c r="L12" s="13" t="s">
        <v>27</v>
      </c>
      <c r="M12" s="12"/>
      <c r="N12" s="12" t="s">
        <v>75</v>
      </c>
      <c r="O12" s="20" t="n">
        <f aca="false">COUNTIF(H12:L12,"Yes")+COUNTIF(H12:L12,"No")</f>
        <v>5</v>
      </c>
    </row>
    <row r="13" customFormat="false" ht="15" hidden="false" customHeight="false" outlineLevel="0" collapsed="false">
      <c r="A13" s="18" t="s">
        <v>15</v>
      </c>
      <c r="B13" s="8" t="s">
        <v>20</v>
      </c>
      <c r="C13" s="8" t="s">
        <v>76</v>
      </c>
      <c r="D13" s="21" t="n">
        <v>105700</v>
      </c>
      <c r="E13" s="8" t="s">
        <v>72</v>
      </c>
      <c r="F13" s="11" t="n">
        <v>0.9</v>
      </c>
      <c r="G13" s="21" t="n">
        <f aca="false">IFERROR(D13*F13,"")</f>
        <v>95130</v>
      </c>
      <c r="H13" s="9" t="s">
        <v>26</v>
      </c>
      <c r="I13" s="9" t="s">
        <v>26</v>
      </c>
      <c r="J13" s="9" t="s">
        <v>26</v>
      </c>
      <c r="K13" s="9" t="s">
        <v>26</v>
      </c>
      <c r="L13" s="9" t="s">
        <v>26</v>
      </c>
      <c r="M13" s="8"/>
      <c r="N13" s="8"/>
      <c r="O13" s="22" t="n">
        <f aca="false">COUNTIF(H13:L13,"Yes")+COUNTIF(H13:L13,"No")</f>
        <v>5</v>
      </c>
    </row>
    <row r="14" customFormat="false" ht="15" hidden="false" customHeight="false" outlineLevel="0" collapsed="false">
      <c r="A14" s="18" t="s">
        <v>15</v>
      </c>
      <c r="B14" s="12" t="s">
        <v>21</v>
      </c>
      <c r="C14" s="12" t="s">
        <v>77</v>
      </c>
      <c r="D14" s="19" t="n">
        <v>119000</v>
      </c>
      <c r="E14" s="12"/>
      <c r="F14" s="15" t="n">
        <v>0.75</v>
      </c>
      <c r="G14" s="19" t="n">
        <f aca="false">IFERROR(D14*F14,"")</f>
        <v>89250</v>
      </c>
      <c r="H14" s="13" t="s">
        <v>26</v>
      </c>
      <c r="I14" s="13" t="s">
        <v>26</v>
      </c>
      <c r="J14" s="13" t="s">
        <v>26</v>
      </c>
      <c r="K14" s="13" t="s">
        <v>26</v>
      </c>
      <c r="L14" s="13" t="s">
        <v>26</v>
      </c>
      <c r="M14" s="12"/>
      <c r="N14" s="12" t="s">
        <v>78</v>
      </c>
      <c r="O14" s="20" t="n">
        <f aca="false">COUNTIF(H14:L14,"Yes")+COUNTIF(H14:L14,"No")</f>
        <v>5</v>
      </c>
    </row>
    <row r="15" customFormat="false" ht="15" hidden="false" customHeight="false" outlineLevel="0" collapsed="false">
      <c r="A15" s="18" t="s">
        <v>15</v>
      </c>
      <c r="B15" s="8" t="s">
        <v>20</v>
      </c>
      <c r="C15" s="8" t="s">
        <v>79</v>
      </c>
      <c r="D15" s="21" t="n">
        <v>93000</v>
      </c>
      <c r="E15" s="8" t="s">
        <v>67</v>
      </c>
      <c r="F15" s="11" t="n">
        <v>0.9</v>
      </c>
      <c r="G15" s="21" t="n">
        <f aca="false">IFERROR(D15*F15,"")</f>
        <v>83700</v>
      </c>
      <c r="H15" s="9" t="s">
        <v>26</v>
      </c>
      <c r="I15" s="9" t="s">
        <v>26</v>
      </c>
      <c r="J15" s="9" t="s">
        <v>26</v>
      </c>
      <c r="K15" s="9" t="s">
        <v>26</v>
      </c>
      <c r="L15" s="9" t="s">
        <v>27</v>
      </c>
      <c r="M15" s="8"/>
      <c r="N15" s="8" t="s">
        <v>80</v>
      </c>
      <c r="O15" s="22" t="n">
        <f aca="false">COUNTIF(H15:L15,"Yes")+COUNTIF(H15:L15,"No")</f>
        <v>5</v>
      </c>
    </row>
    <row r="16" customFormat="false" ht="15" hidden="false" customHeight="false" outlineLevel="0" collapsed="false">
      <c r="A16" s="18" t="s">
        <v>15</v>
      </c>
      <c r="B16" s="12" t="s">
        <v>21</v>
      </c>
      <c r="C16" s="12" t="s">
        <v>81</v>
      </c>
      <c r="D16" s="19" t="n">
        <v>415000</v>
      </c>
      <c r="E16" s="12"/>
      <c r="F16" s="15" t="n">
        <v>0.2</v>
      </c>
      <c r="G16" s="19" t="n">
        <f aca="false">IFERROR(D16*F16,"")</f>
        <v>83000</v>
      </c>
      <c r="H16" s="13" t="s">
        <v>26</v>
      </c>
      <c r="I16" s="13" t="s">
        <v>26</v>
      </c>
      <c r="J16" s="13" t="s">
        <v>27</v>
      </c>
      <c r="K16" s="13" t="s">
        <v>26</v>
      </c>
      <c r="L16" s="13" t="s">
        <v>26</v>
      </c>
      <c r="M16" s="12"/>
      <c r="N16" s="12" t="s">
        <v>82</v>
      </c>
      <c r="O16" s="20" t="n">
        <f aca="false">COUNTIF(H16:L16,"Yes")+COUNTIF(H16:L16,"No")</f>
        <v>5</v>
      </c>
    </row>
    <row r="17" customFormat="false" ht="23.85" hidden="false" customHeight="false" outlineLevel="0" collapsed="false">
      <c r="A17" s="18" t="s">
        <v>15</v>
      </c>
      <c r="B17" s="8" t="s">
        <v>22</v>
      </c>
      <c r="C17" s="8" t="s">
        <v>83</v>
      </c>
      <c r="D17" s="21" t="n">
        <v>130576</v>
      </c>
      <c r="E17" s="8" t="s">
        <v>84</v>
      </c>
      <c r="F17" s="11" t="n">
        <v>0.51</v>
      </c>
      <c r="G17" s="21" t="n">
        <f aca="false">IFERROR(D17*F17,"")</f>
        <v>66593.76</v>
      </c>
      <c r="H17" s="9" t="s">
        <v>26</v>
      </c>
      <c r="I17" s="9" t="s">
        <v>26</v>
      </c>
      <c r="J17" s="9" t="s">
        <v>26</v>
      </c>
      <c r="K17" s="9" t="s">
        <v>26</v>
      </c>
      <c r="L17" s="9" t="s">
        <v>26</v>
      </c>
      <c r="M17" s="8"/>
      <c r="N17" s="8" t="s">
        <v>85</v>
      </c>
      <c r="O17" s="22" t="n">
        <f aca="false">COUNTIF(H17:L17,"Yes")+COUNTIF(H17:L17,"No")</f>
        <v>5</v>
      </c>
    </row>
    <row r="18" customFormat="false" ht="23.85" hidden="false" customHeight="false" outlineLevel="0" collapsed="false">
      <c r="A18" s="18" t="s">
        <v>15</v>
      </c>
      <c r="B18" s="12" t="s">
        <v>19</v>
      </c>
      <c r="C18" s="12" t="s">
        <v>86</v>
      </c>
      <c r="D18" s="19" t="n">
        <v>70000</v>
      </c>
      <c r="E18" s="12" t="s">
        <v>87</v>
      </c>
      <c r="F18" s="15" t="n">
        <v>0.95</v>
      </c>
      <c r="G18" s="19" t="n">
        <f aca="false">IFERROR(D18*F18,"")</f>
        <v>66500</v>
      </c>
      <c r="H18" s="13" t="s">
        <v>26</v>
      </c>
      <c r="I18" s="13" t="s">
        <v>26</v>
      </c>
      <c r="J18" s="13" t="s">
        <v>49</v>
      </c>
      <c r="K18" s="13" t="s">
        <v>26</v>
      </c>
      <c r="L18" s="13" t="s">
        <v>49</v>
      </c>
      <c r="M18" s="12"/>
      <c r="N18" s="12" t="s">
        <v>88</v>
      </c>
      <c r="O18" s="20" t="n">
        <f aca="false">COUNTIF(H18:L18,"Yes")+COUNTIF(H18:L18,"No")</f>
        <v>3</v>
      </c>
    </row>
    <row r="19" customFormat="false" ht="15" hidden="false" customHeight="false" outlineLevel="0" collapsed="false">
      <c r="A19" s="18" t="s">
        <v>15</v>
      </c>
      <c r="B19" s="8" t="s">
        <v>22</v>
      </c>
      <c r="C19" s="8" t="s">
        <v>89</v>
      </c>
      <c r="D19" s="21" t="n">
        <v>163800</v>
      </c>
      <c r="E19" s="8" t="s">
        <v>90</v>
      </c>
      <c r="F19" s="11" t="n">
        <v>0.35</v>
      </c>
      <c r="G19" s="21" t="n">
        <f aca="false">IFERROR(D19*F19,"")</f>
        <v>57330</v>
      </c>
      <c r="H19" s="9" t="s">
        <v>26</v>
      </c>
      <c r="I19" s="9" t="s">
        <v>26</v>
      </c>
      <c r="J19" s="9" t="s">
        <v>26</v>
      </c>
      <c r="K19" s="9" t="s">
        <v>26</v>
      </c>
      <c r="L19" s="9" t="s">
        <v>26</v>
      </c>
      <c r="M19" s="8"/>
      <c r="N19" s="8" t="s">
        <v>91</v>
      </c>
      <c r="O19" s="22" t="n">
        <f aca="false">COUNTIF(H19:L19,"Yes")+COUNTIF(H19:L19,"No")</f>
        <v>5</v>
      </c>
    </row>
    <row r="20" customFormat="false" ht="23.85" hidden="false" customHeight="false" outlineLevel="0" collapsed="false">
      <c r="A20" s="18" t="s">
        <v>15</v>
      </c>
      <c r="B20" s="12" t="s">
        <v>22</v>
      </c>
      <c r="C20" s="12" t="s">
        <v>92</v>
      </c>
      <c r="D20" s="19" t="n">
        <v>185000</v>
      </c>
      <c r="E20" s="12" t="s">
        <v>64</v>
      </c>
      <c r="F20" s="15" t="n">
        <v>0.3</v>
      </c>
      <c r="G20" s="19" t="n">
        <f aca="false">IFERROR(D20*F20,"")</f>
        <v>55500</v>
      </c>
      <c r="H20" s="13" t="s">
        <v>26</v>
      </c>
      <c r="I20" s="13" t="s">
        <v>26</v>
      </c>
      <c r="J20" s="13" t="s">
        <v>49</v>
      </c>
      <c r="K20" s="13" t="s">
        <v>26</v>
      </c>
      <c r="L20" s="13" t="s">
        <v>27</v>
      </c>
      <c r="M20" s="12"/>
      <c r="N20" s="12" t="s">
        <v>93</v>
      </c>
      <c r="O20" s="20" t="n">
        <f aca="false">COUNTIF(H20:L20,"Yes")+COUNTIF(H20:L20,"No")</f>
        <v>4</v>
      </c>
    </row>
    <row r="21" customFormat="false" ht="15" hidden="false" customHeight="false" outlineLevel="0" collapsed="false">
      <c r="A21" s="18" t="s">
        <v>15</v>
      </c>
      <c r="B21" s="8" t="s">
        <v>20</v>
      </c>
      <c r="C21" s="8" t="s">
        <v>94</v>
      </c>
      <c r="D21" s="21" t="n">
        <v>78000</v>
      </c>
      <c r="E21" s="8"/>
      <c r="F21" s="11" t="n">
        <v>0.7</v>
      </c>
      <c r="G21" s="21" t="n">
        <f aca="false">IFERROR(D21*F21,"")</f>
        <v>54600</v>
      </c>
      <c r="H21" s="9" t="s">
        <v>26</v>
      </c>
      <c r="I21" s="9" t="s">
        <v>26</v>
      </c>
      <c r="J21" s="9" t="s">
        <v>26</v>
      </c>
      <c r="K21" s="9" t="s">
        <v>26</v>
      </c>
      <c r="L21" s="9" t="s">
        <v>26</v>
      </c>
      <c r="M21" s="8"/>
      <c r="N21" s="8" t="s">
        <v>53</v>
      </c>
      <c r="O21" s="22" t="n">
        <f aca="false">COUNTIF(H21:L21,"Yes")+COUNTIF(H21:L21,"No")</f>
        <v>5</v>
      </c>
    </row>
    <row r="22" customFormat="false" ht="23.85" hidden="false" customHeight="false" outlineLevel="0" collapsed="false">
      <c r="A22" s="18" t="s">
        <v>15</v>
      </c>
      <c r="B22" s="12" t="s">
        <v>19</v>
      </c>
      <c r="C22" s="12" t="s">
        <v>95</v>
      </c>
      <c r="D22" s="19" t="n">
        <v>70000</v>
      </c>
      <c r="E22" s="12" t="s">
        <v>87</v>
      </c>
      <c r="F22" s="15" t="n">
        <v>0.75</v>
      </c>
      <c r="G22" s="19" t="n">
        <f aca="false">IFERROR(D22*F22,"")</f>
        <v>52500</v>
      </c>
      <c r="H22" s="13" t="s">
        <v>26</v>
      </c>
      <c r="I22" s="13" t="s">
        <v>26</v>
      </c>
      <c r="J22" s="13" t="s">
        <v>49</v>
      </c>
      <c r="K22" s="13" t="s">
        <v>26</v>
      </c>
      <c r="L22" s="13" t="s">
        <v>27</v>
      </c>
      <c r="M22" s="12"/>
      <c r="N22" s="12"/>
      <c r="O22" s="20" t="n">
        <f aca="false">COUNTIF(H22:L22,"Yes")+COUNTIF(H22:L22,"No")</f>
        <v>4</v>
      </c>
    </row>
    <row r="23" customFormat="false" ht="15" hidden="false" customHeight="false" outlineLevel="0" collapsed="false">
      <c r="A23" s="18" t="s">
        <v>15</v>
      </c>
      <c r="B23" s="8" t="s">
        <v>21</v>
      </c>
      <c r="C23" s="8" t="s">
        <v>96</v>
      </c>
      <c r="D23" s="21" t="n">
        <v>90000</v>
      </c>
      <c r="E23" s="8"/>
      <c r="F23" s="11" t="n">
        <v>0.5</v>
      </c>
      <c r="G23" s="21" t="n">
        <f aca="false">IFERROR(D23*F23,"")</f>
        <v>45000</v>
      </c>
      <c r="H23" s="9" t="s">
        <v>26</v>
      </c>
      <c r="I23" s="9" t="s">
        <v>26</v>
      </c>
      <c r="J23" s="9" t="s">
        <v>27</v>
      </c>
      <c r="K23" s="9" t="s">
        <v>26</v>
      </c>
      <c r="L23" s="9" t="s">
        <v>26</v>
      </c>
      <c r="M23" s="8"/>
      <c r="N23" s="8" t="s">
        <v>97</v>
      </c>
      <c r="O23" s="22" t="n">
        <f aca="false">COUNTIF(H23:L23,"Yes")+COUNTIF(H23:L23,"No")</f>
        <v>5</v>
      </c>
    </row>
    <row r="24" customFormat="false" ht="15" hidden="false" customHeight="false" outlineLevel="0" collapsed="false">
      <c r="A24" s="18" t="s">
        <v>15</v>
      </c>
      <c r="B24" s="12" t="s">
        <v>21</v>
      </c>
      <c r="C24" s="12" t="s">
        <v>98</v>
      </c>
      <c r="D24" s="19" t="n">
        <v>54000</v>
      </c>
      <c r="E24" s="12"/>
      <c r="F24" s="15" t="n">
        <v>0.8</v>
      </c>
      <c r="G24" s="19" t="n">
        <f aca="false">IFERROR(D24*F24,"")</f>
        <v>43200</v>
      </c>
      <c r="H24" s="13" t="s">
        <v>26</v>
      </c>
      <c r="I24" s="13" t="s">
        <v>49</v>
      </c>
      <c r="J24" s="13" t="s">
        <v>26</v>
      </c>
      <c r="K24" s="13" t="s">
        <v>26</v>
      </c>
      <c r="L24" s="13" t="s">
        <v>26</v>
      </c>
      <c r="M24" s="12"/>
      <c r="N24" s="12" t="s">
        <v>99</v>
      </c>
      <c r="O24" s="20" t="n">
        <f aca="false">COUNTIF(H24:L24,"Yes")+COUNTIF(H24:L24,"No")</f>
        <v>4</v>
      </c>
    </row>
    <row r="25" customFormat="false" ht="15" hidden="false" customHeight="false" outlineLevel="0" collapsed="false">
      <c r="A25" s="18" t="s">
        <v>15</v>
      </c>
      <c r="B25" s="8" t="s">
        <v>21</v>
      </c>
      <c r="C25" s="8" t="s">
        <v>100</v>
      </c>
      <c r="D25" s="21" t="n">
        <v>42000</v>
      </c>
      <c r="E25" s="8"/>
      <c r="F25" s="11" t="n">
        <v>0.9</v>
      </c>
      <c r="G25" s="21" t="n">
        <f aca="false">IFERROR(D25*F25,"")</f>
        <v>37800</v>
      </c>
      <c r="H25" s="9" t="s">
        <v>26</v>
      </c>
      <c r="I25" s="9" t="s">
        <v>26</v>
      </c>
      <c r="J25" s="9" t="s">
        <v>26</v>
      </c>
      <c r="K25" s="9" t="s">
        <v>26</v>
      </c>
      <c r="L25" s="9" t="s">
        <v>27</v>
      </c>
      <c r="M25" s="8"/>
      <c r="N25" s="8" t="s">
        <v>101</v>
      </c>
      <c r="O25" s="22" t="n">
        <f aca="false">COUNTIF(H25:L25,"Yes")+COUNTIF(H25:L25,"No")</f>
        <v>5</v>
      </c>
    </row>
    <row r="26" customFormat="false" ht="23.85" hidden="false" customHeight="false" outlineLevel="0" collapsed="false">
      <c r="A26" s="18" t="s">
        <v>15</v>
      </c>
      <c r="B26" s="12" t="s">
        <v>19</v>
      </c>
      <c r="C26" s="12" t="s">
        <v>102</v>
      </c>
      <c r="D26" s="19" t="n">
        <v>33000</v>
      </c>
      <c r="E26" s="12" t="s">
        <v>103</v>
      </c>
      <c r="F26" s="15" t="n">
        <v>1</v>
      </c>
      <c r="G26" s="19" t="n">
        <f aca="false">IFERROR(D26*F26,"")</f>
        <v>33000</v>
      </c>
      <c r="H26" s="13" t="s">
        <v>26</v>
      </c>
      <c r="I26" s="13" t="s">
        <v>26</v>
      </c>
      <c r="J26" s="13" t="s">
        <v>26</v>
      </c>
      <c r="K26" s="13" t="s">
        <v>26</v>
      </c>
      <c r="L26" s="13" t="s">
        <v>27</v>
      </c>
      <c r="M26" s="12"/>
      <c r="N26" s="12" t="s">
        <v>62</v>
      </c>
      <c r="O26" s="20" t="n">
        <f aca="false">COUNTIF(H26:L26,"Yes")+COUNTIF(H26:L26,"No")</f>
        <v>5</v>
      </c>
    </row>
    <row r="27" customFormat="false" ht="15" hidden="false" customHeight="false" outlineLevel="0" collapsed="false">
      <c r="A27" s="18" t="s">
        <v>15</v>
      </c>
      <c r="B27" s="8" t="s">
        <v>22</v>
      </c>
      <c r="C27" s="8" t="s">
        <v>104</v>
      </c>
      <c r="D27" s="21" t="n">
        <v>88437</v>
      </c>
      <c r="E27" s="8"/>
      <c r="F27" s="11" t="n">
        <v>0.25</v>
      </c>
      <c r="G27" s="21" t="n">
        <f aca="false">IFERROR(D27*F27,"")</f>
        <v>22109.25</v>
      </c>
      <c r="H27" s="9" t="s">
        <v>26</v>
      </c>
      <c r="I27" s="9" t="s">
        <v>26</v>
      </c>
      <c r="J27" s="9" t="s">
        <v>27</v>
      </c>
      <c r="K27" s="9" t="s">
        <v>26</v>
      </c>
      <c r="L27" s="9" t="s">
        <v>49</v>
      </c>
      <c r="M27" s="8"/>
      <c r="N27" s="8" t="s">
        <v>105</v>
      </c>
      <c r="O27" s="22" t="n">
        <f aca="false">COUNTIF(H27:L27,"Yes")+COUNTIF(H27:L27,"No")</f>
        <v>4</v>
      </c>
    </row>
    <row r="28" customFormat="false" ht="15" hidden="false" customHeight="false" outlineLevel="0" collapsed="false">
      <c r="A28" s="18" t="s">
        <v>15</v>
      </c>
      <c r="B28" s="12" t="s">
        <v>21</v>
      </c>
      <c r="C28" s="12" t="s">
        <v>106</v>
      </c>
      <c r="D28" s="19" t="n">
        <v>430000</v>
      </c>
      <c r="E28" s="12"/>
      <c r="F28" s="15" t="n">
        <v>0.05</v>
      </c>
      <c r="G28" s="19" t="n">
        <f aca="false">IFERROR(D28*F28,"")</f>
        <v>21500</v>
      </c>
      <c r="H28" s="13" t="s">
        <v>26</v>
      </c>
      <c r="I28" s="13" t="s">
        <v>27</v>
      </c>
      <c r="J28" s="13" t="s">
        <v>27</v>
      </c>
      <c r="K28" s="13" t="s">
        <v>26</v>
      </c>
      <c r="L28" s="13" t="s">
        <v>26</v>
      </c>
      <c r="M28" s="12"/>
      <c r="N28" s="12" t="s">
        <v>107</v>
      </c>
      <c r="O28" s="20" t="n">
        <f aca="false">COUNTIF(H28:L28,"Yes")+COUNTIF(H28:L28,"No")</f>
        <v>5</v>
      </c>
    </row>
    <row r="29" customFormat="false" ht="15" hidden="false" customHeight="false" outlineLevel="0" collapsed="false">
      <c r="A29" s="18" t="s">
        <v>15</v>
      </c>
      <c r="B29" s="8" t="s">
        <v>21</v>
      </c>
      <c r="C29" s="8" t="s">
        <v>108</v>
      </c>
      <c r="D29" s="21" t="n">
        <v>35000</v>
      </c>
      <c r="E29" s="8"/>
      <c r="F29" s="11" t="n">
        <v>0.6</v>
      </c>
      <c r="G29" s="21" t="n">
        <f aca="false">IFERROR(D29*F29,"")</f>
        <v>21000</v>
      </c>
      <c r="H29" s="9" t="s">
        <v>26</v>
      </c>
      <c r="I29" s="9" t="s">
        <v>27</v>
      </c>
      <c r="J29" s="9" t="s">
        <v>27</v>
      </c>
      <c r="K29" s="9" t="s">
        <v>26</v>
      </c>
      <c r="L29" s="9" t="s">
        <v>26</v>
      </c>
      <c r="M29" s="8"/>
      <c r="N29" s="8" t="s">
        <v>109</v>
      </c>
      <c r="O29" s="22" t="n">
        <f aca="false">COUNTIF(H29:L29,"Yes")+COUNTIF(H29:L29,"No")</f>
        <v>5</v>
      </c>
    </row>
    <row r="30" customFormat="false" ht="15" hidden="false" customHeight="false" outlineLevel="0" collapsed="false">
      <c r="A30" s="18" t="s">
        <v>15</v>
      </c>
      <c r="B30" s="12" t="s">
        <v>21</v>
      </c>
      <c r="C30" s="12" t="s">
        <v>110</v>
      </c>
      <c r="D30" s="19" t="n">
        <v>29000</v>
      </c>
      <c r="E30" s="12"/>
      <c r="F30" s="15" t="n">
        <v>0.6</v>
      </c>
      <c r="G30" s="19" t="n">
        <f aca="false">IFERROR(D30*F30,"")</f>
        <v>17400</v>
      </c>
      <c r="H30" s="13" t="s">
        <v>26</v>
      </c>
      <c r="I30" s="13" t="s">
        <v>26</v>
      </c>
      <c r="J30" s="13" t="s">
        <v>26</v>
      </c>
      <c r="K30" s="13" t="s">
        <v>26</v>
      </c>
      <c r="L30" s="13" t="s">
        <v>27</v>
      </c>
      <c r="M30" s="12"/>
      <c r="N30" s="12"/>
      <c r="O30" s="20" t="n">
        <f aca="false">COUNTIF(H30:L30,"Yes")+COUNTIF(H30:L30,"No")</f>
        <v>5</v>
      </c>
    </row>
    <row r="31" customFormat="false" ht="15" hidden="false" customHeight="false" outlineLevel="0" collapsed="false">
      <c r="A31" s="18" t="s">
        <v>15</v>
      </c>
      <c r="B31" s="8" t="s">
        <v>21</v>
      </c>
      <c r="C31" s="8" t="s">
        <v>111</v>
      </c>
      <c r="D31" s="21" t="n">
        <v>238000</v>
      </c>
      <c r="E31" s="8" t="s">
        <v>112</v>
      </c>
      <c r="F31" s="11" t="n">
        <v>0.05</v>
      </c>
      <c r="G31" s="21" t="n">
        <f aca="false">IFERROR(D31*F31,"")</f>
        <v>11900</v>
      </c>
      <c r="H31" s="9" t="s">
        <v>26</v>
      </c>
      <c r="I31" s="9" t="s">
        <v>27</v>
      </c>
      <c r="J31" s="9" t="s">
        <v>49</v>
      </c>
      <c r="K31" s="9" t="s">
        <v>26</v>
      </c>
      <c r="L31" s="9" t="s">
        <v>26</v>
      </c>
      <c r="M31" s="8"/>
      <c r="N31" s="8" t="s">
        <v>113</v>
      </c>
      <c r="O31" s="22" t="n">
        <f aca="false">COUNTIF(H31:L31,"Yes")+COUNTIF(H31:L31,"No")</f>
        <v>4</v>
      </c>
    </row>
    <row r="32" customFormat="false" ht="23.85" hidden="false" customHeight="false" outlineLevel="0" collapsed="false">
      <c r="A32" s="18" t="s">
        <v>15</v>
      </c>
      <c r="B32" s="12" t="s">
        <v>19</v>
      </c>
      <c r="C32" s="12" t="s">
        <v>114</v>
      </c>
      <c r="D32" s="19" t="n">
        <v>11000</v>
      </c>
      <c r="E32" s="12" t="s">
        <v>115</v>
      </c>
      <c r="F32" s="15" t="n">
        <v>1</v>
      </c>
      <c r="G32" s="19" t="n">
        <f aca="false">IFERROR(D32*F32,"")</f>
        <v>11000</v>
      </c>
      <c r="H32" s="13" t="s">
        <v>26</v>
      </c>
      <c r="I32" s="13" t="s">
        <v>26</v>
      </c>
      <c r="J32" s="13" t="s">
        <v>26</v>
      </c>
      <c r="K32" s="13" t="s">
        <v>26</v>
      </c>
      <c r="L32" s="13" t="s">
        <v>27</v>
      </c>
      <c r="M32" s="12"/>
      <c r="N32" s="12" t="s">
        <v>116</v>
      </c>
      <c r="O32" s="20" t="n">
        <f aca="false">COUNTIF(H32:L32,"Yes")+COUNTIF(H32:L32,"No")</f>
        <v>5</v>
      </c>
    </row>
    <row r="33" customFormat="false" ht="23.85" hidden="false" customHeight="false" outlineLevel="0" collapsed="false">
      <c r="A33" s="18" t="s">
        <v>15</v>
      </c>
      <c r="B33" s="8" t="s">
        <v>19</v>
      </c>
      <c r="C33" s="8" t="s">
        <v>117</v>
      </c>
      <c r="D33" s="21" t="n">
        <v>11250</v>
      </c>
      <c r="E33" s="8" t="s">
        <v>118</v>
      </c>
      <c r="F33" s="11" t="n">
        <v>0.85</v>
      </c>
      <c r="G33" s="21" t="n">
        <f aca="false">IFERROR(D33*F33,"")</f>
        <v>9562.5</v>
      </c>
      <c r="H33" s="9" t="s">
        <v>26</v>
      </c>
      <c r="I33" s="9" t="s">
        <v>26</v>
      </c>
      <c r="J33" s="9" t="s">
        <v>26</v>
      </c>
      <c r="K33" s="9" t="s">
        <v>26</v>
      </c>
      <c r="L33" s="9" t="s">
        <v>27</v>
      </c>
      <c r="M33" s="8"/>
      <c r="N33" s="8" t="s">
        <v>93</v>
      </c>
      <c r="O33" s="22" t="n">
        <f aca="false">COUNTIF(H33:L33,"Yes")+COUNTIF(H33:L33,"No")</f>
        <v>5</v>
      </c>
    </row>
    <row r="34" customFormat="false" ht="15" hidden="false" customHeight="false" outlineLevel="0" collapsed="false">
      <c r="A34" s="18" t="s">
        <v>15</v>
      </c>
      <c r="B34" s="12" t="s">
        <v>21</v>
      </c>
      <c r="C34" s="12" t="s">
        <v>119</v>
      </c>
      <c r="D34" s="19" t="n">
        <v>10000</v>
      </c>
      <c r="E34" s="12"/>
      <c r="F34" s="15" t="n">
        <v>0.6</v>
      </c>
      <c r="G34" s="19" t="n">
        <f aca="false">IFERROR(D34*F34,"")</f>
        <v>6000</v>
      </c>
      <c r="H34" s="13" t="s">
        <v>26</v>
      </c>
      <c r="I34" s="13" t="s">
        <v>26</v>
      </c>
      <c r="J34" s="13" t="s">
        <v>26</v>
      </c>
      <c r="K34" s="13" t="s">
        <v>26</v>
      </c>
      <c r="L34" s="13" t="s">
        <v>26</v>
      </c>
      <c r="M34" s="12"/>
      <c r="N34" s="12" t="s">
        <v>120</v>
      </c>
      <c r="O34" s="20" t="n">
        <f aca="false">COUNTIF(H34:L34,"Yes")+COUNTIF(H34:L34,"No")</f>
        <v>5</v>
      </c>
    </row>
    <row r="35" customFormat="false" ht="15" hidden="false" customHeight="false" outlineLevel="0" collapsed="false">
      <c r="A35" s="23" t="s">
        <v>14</v>
      </c>
      <c r="B35" s="8" t="s">
        <v>20</v>
      </c>
      <c r="C35" s="8" t="s">
        <v>121</v>
      </c>
      <c r="D35" s="21" t="n">
        <v>665000</v>
      </c>
      <c r="E35" s="8"/>
      <c r="F35" s="11" t="n">
        <v>0.8</v>
      </c>
      <c r="G35" s="21" t="n">
        <f aca="false">IFERROR(D35*F35,"")</f>
        <v>532000</v>
      </c>
      <c r="H35" s="9" t="s">
        <v>27</v>
      </c>
      <c r="I35" s="9" t="s">
        <v>26</v>
      </c>
      <c r="J35" s="9" t="s">
        <v>26</v>
      </c>
      <c r="K35" s="9" t="s">
        <v>26</v>
      </c>
      <c r="L35" s="9" t="s">
        <v>27</v>
      </c>
      <c r="M35" s="8" t="s">
        <v>122</v>
      </c>
      <c r="N35" s="8" t="s">
        <v>123</v>
      </c>
      <c r="O35" s="22" t="n">
        <f aca="false">COUNTIF(H35:L35,"Yes")+COUNTIF(H35:L35,"No")</f>
        <v>5</v>
      </c>
    </row>
    <row r="36" customFormat="false" ht="15" hidden="false" customHeight="false" outlineLevel="0" collapsed="false">
      <c r="A36" s="23" t="s">
        <v>14</v>
      </c>
      <c r="B36" s="12" t="s">
        <v>21</v>
      </c>
      <c r="C36" s="12" t="s">
        <v>124</v>
      </c>
      <c r="D36" s="19" t="n">
        <v>572000</v>
      </c>
      <c r="E36" s="12"/>
      <c r="F36" s="15" t="n">
        <v>0.55</v>
      </c>
      <c r="G36" s="19" t="n">
        <f aca="false">IFERROR(D36*F36,"")</f>
        <v>314600</v>
      </c>
      <c r="H36" s="13" t="s">
        <v>49</v>
      </c>
      <c r="I36" s="13" t="s">
        <v>26</v>
      </c>
      <c r="J36" s="13" t="s">
        <v>27</v>
      </c>
      <c r="K36" s="13" t="s">
        <v>26</v>
      </c>
      <c r="L36" s="13" t="s">
        <v>49</v>
      </c>
      <c r="M36" s="12"/>
      <c r="N36" s="12" t="s">
        <v>125</v>
      </c>
      <c r="O36" s="20" t="n">
        <f aca="false">COUNTIF(H36:L36,"Yes")+COUNTIF(H36:L36,"No")</f>
        <v>3</v>
      </c>
    </row>
    <row r="37" customFormat="false" ht="35.05" hidden="false" customHeight="false" outlineLevel="0" collapsed="false">
      <c r="A37" s="23" t="s">
        <v>14</v>
      </c>
      <c r="B37" s="8" t="s">
        <v>19</v>
      </c>
      <c r="C37" s="8" t="s">
        <v>126</v>
      </c>
      <c r="D37" s="21" t="n">
        <v>341280</v>
      </c>
      <c r="E37" s="8" t="s">
        <v>127</v>
      </c>
      <c r="F37" s="11" t="n">
        <v>0.55</v>
      </c>
      <c r="G37" s="21" t="n">
        <f aca="false">IFERROR(D37*F37,"")</f>
        <v>187704</v>
      </c>
      <c r="H37" s="9" t="s">
        <v>26</v>
      </c>
      <c r="I37" s="9" t="s">
        <v>26</v>
      </c>
      <c r="J37" s="9" t="s">
        <v>49</v>
      </c>
      <c r="K37" s="9" t="s">
        <v>26</v>
      </c>
      <c r="L37" s="9" t="s">
        <v>49</v>
      </c>
      <c r="M37" s="8" t="s">
        <v>128</v>
      </c>
      <c r="N37" s="8" t="s">
        <v>129</v>
      </c>
      <c r="O37" s="22" t="n">
        <f aca="false">COUNTIF(H37:L37,"Yes")+COUNTIF(H37:L37,"No")</f>
        <v>3</v>
      </c>
    </row>
    <row r="38" customFormat="false" ht="15" hidden="false" customHeight="false" outlineLevel="0" collapsed="false">
      <c r="A38" s="23" t="s">
        <v>14</v>
      </c>
      <c r="B38" s="12" t="s">
        <v>20</v>
      </c>
      <c r="C38" s="12" t="s">
        <v>130</v>
      </c>
      <c r="D38" s="19" t="n">
        <v>299000</v>
      </c>
      <c r="E38" s="12" t="s">
        <v>67</v>
      </c>
      <c r="F38" s="15" t="n">
        <v>0.6</v>
      </c>
      <c r="G38" s="19" t="n">
        <f aca="false">IFERROR(D38*F38,"")</f>
        <v>179400</v>
      </c>
      <c r="H38" s="13" t="s">
        <v>26</v>
      </c>
      <c r="I38" s="13" t="s">
        <v>26</v>
      </c>
      <c r="J38" s="13" t="s">
        <v>27</v>
      </c>
      <c r="K38" s="13" t="s">
        <v>26</v>
      </c>
      <c r="L38" s="13" t="s">
        <v>26</v>
      </c>
      <c r="M38" s="12" t="s">
        <v>131</v>
      </c>
      <c r="N38" s="12" t="s">
        <v>132</v>
      </c>
      <c r="O38" s="20" t="n">
        <f aca="false">COUNTIF(H38:L38,"Yes")+COUNTIF(H38:L38,"No")</f>
        <v>5</v>
      </c>
    </row>
    <row r="39" customFormat="false" ht="15" hidden="false" customHeight="false" outlineLevel="0" collapsed="false">
      <c r="A39" s="23" t="s">
        <v>14</v>
      </c>
      <c r="B39" s="8" t="s">
        <v>21</v>
      </c>
      <c r="C39" s="8" t="s">
        <v>133</v>
      </c>
      <c r="D39" s="21" t="n">
        <v>196000</v>
      </c>
      <c r="E39" s="8" t="s">
        <v>134</v>
      </c>
      <c r="F39" s="11" t="n">
        <v>0.6</v>
      </c>
      <c r="G39" s="21" t="n">
        <f aca="false">IFERROR(D39*F39,"")</f>
        <v>117600</v>
      </c>
      <c r="H39" s="9" t="s">
        <v>26</v>
      </c>
      <c r="I39" s="9" t="s">
        <v>26</v>
      </c>
      <c r="J39" s="9" t="s">
        <v>27</v>
      </c>
      <c r="K39" s="9" t="s">
        <v>26</v>
      </c>
      <c r="L39" s="9" t="s">
        <v>27</v>
      </c>
      <c r="M39" s="8"/>
      <c r="N39" s="8"/>
      <c r="O39" s="22" t="n">
        <f aca="false">COUNTIF(H39:L39,"Yes")+COUNTIF(H39:L39,"No")</f>
        <v>5</v>
      </c>
    </row>
    <row r="40" customFormat="false" ht="23.85" hidden="false" customHeight="false" outlineLevel="0" collapsed="false">
      <c r="A40" s="23" t="s">
        <v>14</v>
      </c>
      <c r="B40" s="12" t="s">
        <v>19</v>
      </c>
      <c r="C40" s="12" t="s">
        <v>135</v>
      </c>
      <c r="D40" s="19" t="n">
        <v>100000</v>
      </c>
      <c r="E40" s="12" t="s">
        <v>136</v>
      </c>
      <c r="F40" s="15" t="n">
        <v>0.99</v>
      </c>
      <c r="G40" s="19" t="n">
        <f aca="false">IFERROR(D40*F40,"")</f>
        <v>99000</v>
      </c>
      <c r="H40" s="13" t="s">
        <v>49</v>
      </c>
      <c r="I40" s="13" t="s">
        <v>26</v>
      </c>
      <c r="J40" s="13" t="s">
        <v>26</v>
      </c>
      <c r="K40" s="13" t="s">
        <v>26</v>
      </c>
      <c r="L40" s="13" t="s">
        <v>49</v>
      </c>
      <c r="M40" s="12" t="s">
        <v>137</v>
      </c>
      <c r="N40" s="12" t="s">
        <v>138</v>
      </c>
      <c r="O40" s="20" t="n">
        <f aca="false">COUNTIF(H40:L40,"Yes")+COUNTIF(H40:L40,"No")</f>
        <v>3</v>
      </c>
    </row>
    <row r="41" customFormat="false" ht="15" hidden="false" customHeight="false" outlineLevel="0" collapsed="false">
      <c r="A41" s="23" t="s">
        <v>14</v>
      </c>
      <c r="B41" s="8" t="s">
        <v>20</v>
      </c>
      <c r="C41" s="8" t="s">
        <v>139</v>
      </c>
      <c r="D41" s="21" t="n">
        <v>189000</v>
      </c>
      <c r="E41" s="8"/>
      <c r="F41" s="11" t="n">
        <v>0.5</v>
      </c>
      <c r="G41" s="21" t="n">
        <f aca="false">IFERROR(D41*F41,"")</f>
        <v>94500</v>
      </c>
      <c r="H41" s="9" t="s">
        <v>26</v>
      </c>
      <c r="I41" s="9" t="s">
        <v>26</v>
      </c>
      <c r="J41" s="9" t="s">
        <v>27</v>
      </c>
      <c r="K41" s="9" t="s">
        <v>26</v>
      </c>
      <c r="L41" s="9" t="s">
        <v>26</v>
      </c>
      <c r="M41" s="8" t="s">
        <v>131</v>
      </c>
      <c r="N41" s="8"/>
      <c r="O41" s="22" t="n">
        <f aca="false">COUNTIF(H41:L41,"Yes")+COUNTIF(H41:L41,"No")</f>
        <v>5</v>
      </c>
    </row>
    <row r="42" customFormat="false" ht="15" hidden="false" customHeight="false" outlineLevel="0" collapsed="false">
      <c r="A42" s="23" t="s">
        <v>14</v>
      </c>
      <c r="B42" s="12" t="s">
        <v>21</v>
      </c>
      <c r="C42" s="12" t="s">
        <v>140</v>
      </c>
      <c r="D42" s="19" t="n">
        <v>90000</v>
      </c>
      <c r="E42" s="12" t="s">
        <v>141</v>
      </c>
      <c r="F42" s="15" t="n">
        <v>0.45</v>
      </c>
      <c r="G42" s="19" t="n">
        <f aca="false">IFERROR(D42*F42,"")</f>
        <v>40500</v>
      </c>
      <c r="H42" s="13" t="s">
        <v>26</v>
      </c>
      <c r="I42" s="13" t="s">
        <v>27</v>
      </c>
      <c r="J42" s="13" t="s">
        <v>27</v>
      </c>
      <c r="K42" s="13" t="s">
        <v>26</v>
      </c>
      <c r="L42" s="13" t="s">
        <v>49</v>
      </c>
      <c r="M42" s="12"/>
      <c r="N42" s="12" t="s">
        <v>142</v>
      </c>
      <c r="O42" s="20" t="n">
        <f aca="false">COUNTIF(H42:L42,"Yes")+COUNTIF(H42:L42,"No")</f>
        <v>4</v>
      </c>
    </row>
    <row r="43" customFormat="false" ht="15" hidden="false" customHeight="false" outlineLevel="0" collapsed="false">
      <c r="A43" s="23" t="s">
        <v>14</v>
      </c>
      <c r="B43" s="8" t="s">
        <v>20</v>
      </c>
      <c r="C43" s="8" t="s">
        <v>143</v>
      </c>
      <c r="D43" s="21" t="n">
        <v>92000</v>
      </c>
      <c r="E43" s="8" t="s">
        <v>144</v>
      </c>
      <c r="F43" s="11" t="n">
        <v>0.4</v>
      </c>
      <c r="G43" s="21" t="n">
        <f aca="false">IFERROR(D43*F43,"")</f>
        <v>36800</v>
      </c>
      <c r="H43" s="9" t="s">
        <v>26</v>
      </c>
      <c r="I43" s="9" t="s">
        <v>26</v>
      </c>
      <c r="J43" s="9" t="s">
        <v>26</v>
      </c>
      <c r="K43" s="9" t="s">
        <v>26</v>
      </c>
      <c r="L43" s="9" t="s">
        <v>26</v>
      </c>
      <c r="M43" s="8" t="s">
        <v>131</v>
      </c>
      <c r="N43" s="8" t="s">
        <v>145</v>
      </c>
      <c r="O43" s="22" t="n">
        <f aca="false">COUNTIF(H43:L43,"Yes")+COUNTIF(H43:L43,"No")</f>
        <v>5</v>
      </c>
    </row>
    <row r="44" customFormat="false" ht="15" hidden="false" customHeight="false" outlineLevel="0" collapsed="false">
      <c r="A44" s="23" t="s">
        <v>14</v>
      </c>
      <c r="B44" s="12" t="s">
        <v>19</v>
      </c>
      <c r="C44" s="12" t="s">
        <v>146</v>
      </c>
      <c r="D44" s="19" t="n">
        <v>75000</v>
      </c>
      <c r="E44" s="12" t="s">
        <v>147</v>
      </c>
      <c r="F44" s="15" t="n">
        <v>0.49</v>
      </c>
      <c r="G44" s="19" t="n">
        <f aca="false">IFERROR(D44*F44,"")</f>
        <v>36750</v>
      </c>
      <c r="H44" s="13" t="s">
        <v>26</v>
      </c>
      <c r="I44" s="13" t="s">
        <v>26</v>
      </c>
      <c r="J44" s="13" t="s">
        <v>27</v>
      </c>
      <c r="K44" s="13" t="s">
        <v>26</v>
      </c>
      <c r="L44" s="13" t="s">
        <v>49</v>
      </c>
      <c r="M44" s="12" t="s">
        <v>148</v>
      </c>
      <c r="N44" s="12" t="s">
        <v>149</v>
      </c>
      <c r="O44" s="20" t="n">
        <f aca="false">COUNTIF(H44:L44,"Yes")+COUNTIF(H44:L44,"No")</f>
        <v>4</v>
      </c>
    </row>
    <row r="45" customFormat="false" ht="15" hidden="false" customHeight="false" outlineLevel="0" collapsed="false">
      <c r="A45" s="23" t="s">
        <v>14</v>
      </c>
      <c r="B45" s="8" t="s">
        <v>22</v>
      </c>
      <c r="C45" s="8" t="s">
        <v>150</v>
      </c>
      <c r="D45" s="21" t="n">
        <v>720000</v>
      </c>
      <c r="E45" s="8"/>
      <c r="F45" s="11" t="n">
        <v>0.05</v>
      </c>
      <c r="G45" s="21" t="n">
        <f aca="false">IFERROR(D45*F45,"")</f>
        <v>36000</v>
      </c>
      <c r="H45" s="9" t="s">
        <v>26</v>
      </c>
      <c r="I45" s="9" t="s">
        <v>27</v>
      </c>
      <c r="J45" s="9" t="s">
        <v>27</v>
      </c>
      <c r="K45" s="9" t="s">
        <v>27</v>
      </c>
      <c r="L45" s="9" t="s">
        <v>26</v>
      </c>
      <c r="M45" s="8" t="s">
        <v>151</v>
      </c>
      <c r="N45" s="8" t="s">
        <v>152</v>
      </c>
      <c r="O45" s="22" t="n">
        <f aca="false">COUNTIF(H45:L45,"Yes")+COUNTIF(H45:L45,"No")</f>
        <v>5</v>
      </c>
    </row>
    <row r="46" customFormat="false" ht="15" hidden="false" customHeight="false" outlineLevel="0" collapsed="false">
      <c r="A46" s="23" t="s">
        <v>14</v>
      </c>
      <c r="B46" s="12" t="s">
        <v>22</v>
      </c>
      <c r="C46" s="12" t="s">
        <v>153</v>
      </c>
      <c r="D46" s="19" t="n">
        <v>60000</v>
      </c>
      <c r="E46" s="12" t="s">
        <v>154</v>
      </c>
      <c r="F46" s="15" t="n">
        <v>0.45</v>
      </c>
      <c r="G46" s="19" t="n">
        <f aca="false">IFERROR(D46*F46,"")</f>
        <v>27000</v>
      </c>
      <c r="H46" s="13" t="s">
        <v>27</v>
      </c>
      <c r="I46" s="13" t="s">
        <v>26</v>
      </c>
      <c r="J46" s="13" t="s">
        <v>27</v>
      </c>
      <c r="K46" s="13" t="s">
        <v>26</v>
      </c>
      <c r="L46" s="13" t="s">
        <v>27</v>
      </c>
      <c r="M46" s="12" t="s">
        <v>155</v>
      </c>
      <c r="N46" s="12" t="s">
        <v>156</v>
      </c>
      <c r="O46" s="20" t="n">
        <f aca="false">COUNTIF(H46:L46,"Yes")+COUNTIF(H46:L46,"No")</f>
        <v>5</v>
      </c>
    </row>
    <row r="47" customFormat="false" ht="23.85" hidden="false" customHeight="false" outlineLevel="0" collapsed="false">
      <c r="A47" s="23" t="s">
        <v>14</v>
      </c>
      <c r="B47" s="8" t="s">
        <v>19</v>
      </c>
      <c r="C47" s="8" t="s">
        <v>157</v>
      </c>
      <c r="D47" s="21" t="n">
        <v>25000</v>
      </c>
      <c r="E47" s="8" t="s">
        <v>158</v>
      </c>
      <c r="F47" s="11" t="n">
        <v>0.95</v>
      </c>
      <c r="G47" s="21" t="n">
        <f aca="false">IFERROR(D47*F47,"")</f>
        <v>23750</v>
      </c>
      <c r="H47" s="9" t="s">
        <v>27</v>
      </c>
      <c r="I47" s="9" t="s">
        <v>26</v>
      </c>
      <c r="J47" s="9" t="s">
        <v>26</v>
      </c>
      <c r="K47" s="9" t="s">
        <v>49</v>
      </c>
      <c r="L47" s="9" t="s">
        <v>27</v>
      </c>
      <c r="M47" s="8" t="s">
        <v>159</v>
      </c>
      <c r="N47" s="8" t="s">
        <v>160</v>
      </c>
      <c r="O47" s="22" t="n">
        <f aca="false">COUNTIF(H47:L47,"Yes")+COUNTIF(H47:L47,"No")</f>
        <v>4</v>
      </c>
    </row>
    <row r="48" customFormat="false" ht="15" hidden="false" customHeight="false" outlineLevel="0" collapsed="false">
      <c r="A48" s="23" t="s">
        <v>14</v>
      </c>
      <c r="B48" s="12" t="s">
        <v>20</v>
      </c>
      <c r="C48" s="12" t="s">
        <v>161</v>
      </c>
      <c r="D48" s="19" t="n">
        <v>56000</v>
      </c>
      <c r="E48" s="12"/>
      <c r="F48" s="15" t="n">
        <v>0.4</v>
      </c>
      <c r="G48" s="19" t="n">
        <f aca="false">IFERROR(D48*F48,"")</f>
        <v>22400</v>
      </c>
      <c r="H48" s="13" t="s">
        <v>26</v>
      </c>
      <c r="I48" s="13" t="s">
        <v>26</v>
      </c>
      <c r="J48" s="13" t="s">
        <v>27</v>
      </c>
      <c r="K48" s="13" t="s">
        <v>26</v>
      </c>
      <c r="L48" s="13" t="s">
        <v>27</v>
      </c>
      <c r="M48" s="12" t="s">
        <v>162</v>
      </c>
      <c r="N48" s="12" t="s">
        <v>163</v>
      </c>
      <c r="O48" s="20" t="n">
        <f aca="false">COUNTIF(H48:L48,"Yes")+COUNTIF(H48:L48,"No")</f>
        <v>5</v>
      </c>
    </row>
    <row r="49" customFormat="false" ht="23.85" hidden="false" customHeight="false" outlineLevel="0" collapsed="false">
      <c r="A49" s="23" t="s">
        <v>14</v>
      </c>
      <c r="B49" s="8" t="s">
        <v>19</v>
      </c>
      <c r="C49" s="8" t="s">
        <v>164</v>
      </c>
      <c r="D49" s="21" t="n">
        <v>70000</v>
      </c>
      <c r="E49" s="8" t="s">
        <v>165</v>
      </c>
      <c r="F49" s="11" t="n">
        <v>0.25</v>
      </c>
      <c r="G49" s="21" t="n">
        <f aca="false">IFERROR(D49*F49,"")</f>
        <v>17500</v>
      </c>
      <c r="H49" s="9" t="s">
        <v>49</v>
      </c>
      <c r="I49" s="9" t="s">
        <v>26</v>
      </c>
      <c r="J49" s="9" t="s">
        <v>49</v>
      </c>
      <c r="K49" s="9" t="s">
        <v>49</v>
      </c>
      <c r="L49" s="9" t="s">
        <v>26</v>
      </c>
      <c r="M49" s="8" t="s">
        <v>166</v>
      </c>
      <c r="N49" s="8" t="s">
        <v>167</v>
      </c>
      <c r="O49" s="22" t="n">
        <f aca="false">COUNTIF(H49:L49,"Yes")+COUNTIF(H49:L49,"No")</f>
        <v>2</v>
      </c>
    </row>
    <row r="50" customFormat="false" ht="15" hidden="false" customHeight="false" outlineLevel="0" collapsed="false">
      <c r="A50" s="23" t="s">
        <v>14</v>
      </c>
      <c r="B50" s="12" t="s">
        <v>21</v>
      </c>
      <c r="C50" s="12" t="s">
        <v>168</v>
      </c>
      <c r="D50" s="19" t="n">
        <v>27000</v>
      </c>
      <c r="E50" s="12"/>
      <c r="F50" s="15" t="n">
        <v>0.6</v>
      </c>
      <c r="G50" s="19" t="n">
        <f aca="false">IFERROR(D50*F50,"")</f>
        <v>16200</v>
      </c>
      <c r="H50" s="13" t="s">
        <v>26</v>
      </c>
      <c r="I50" s="13" t="s">
        <v>27</v>
      </c>
      <c r="J50" s="13" t="s">
        <v>27</v>
      </c>
      <c r="K50" s="13" t="s">
        <v>26</v>
      </c>
      <c r="L50" s="13" t="s">
        <v>26</v>
      </c>
      <c r="M50" s="12"/>
      <c r="N50" s="12" t="s">
        <v>169</v>
      </c>
      <c r="O50" s="20" t="n">
        <f aca="false">COUNTIF(H50:L50,"Yes")+COUNTIF(H50:L50,"No")</f>
        <v>5</v>
      </c>
    </row>
    <row r="51" customFormat="false" ht="23.85" hidden="false" customHeight="false" outlineLevel="0" collapsed="false">
      <c r="A51" s="23" t="s">
        <v>14</v>
      </c>
      <c r="B51" s="8" t="s">
        <v>19</v>
      </c>
      <c r="C51" s="8" t="s">
        <v>170</v>
      </c>
      <c r="D51" s="21" t="n">
        <v>18000</v>
      </c>
      <c r="E51" s="8" t="s">
        <v>118</v>
      </c>
      <c r="F51" s="11" t="n">
        <v>0.85</v>
      </c>
      <c r="G51" s="21" t="n">
        <f aca="false">IFERROR(D51*F51,"")</f>
        <v>15300</v>
      </c>
      <c r="H51" s="9" t="s">
        <v>26</v>
      </c>
      <c r="I51" s="9" t="s">
        <v>26</v>
      </c>
      <c r="J51" s="9" t="s">
        <v>26</v>
      </c>
      <c r="K51" s="9" t="s">
        <v>49</v>
      </c>
      <c r="L51" s="9" t="s">
        <v>49</v>
      </c>
      <c r="M51" s="8" t="s">
        <v>171</v>
      </c>
      <c r="N51" s="8" t="s">
        <v>172</v>
      </c>
      <c r="O51" s="22" t="n">
        <f aca="false">COUNTIF(H51:L51,"Yes")+COUNTIF(H51:L51,"No")</f>
        <v>3</v>
      </c>
    </row>
    <row r="52" customFormat="false" ht="15" hidden="false" customHeight="false" outlineLevel="0" collapsed="false">
      <c r="A52" s="23" t="s">
        <v>14</v>
      </c>
      <c r="B52" s="12" t="s">
        <v>22</v>
      </c>
      <c r="C52" s="12" t="s">
        <v>173</v>
      </c>
      <c r="D52" s="19" t="n">
        <v>258000</v>
      </c>
      <c r="E52" s="12" t="s">
        <v>174</v>
      </c>
      <c r="F52" s="15" t="n">
        <v>0.05</v>
      </c>
      <c r="G52" s="19" t="n">
        <f aca="false">IFERROR(D52*F52,"")</f>
        <v>12900</v>
      </c>
      <c r="H52" s="13" t="s">
        <v>49</v>
      </c>
      <c r="I52" s="13" t="s">
        <v>26</v>
      </c>
      <c r="J52" s="13" t="s">
        <v>26</v>
      </c>
      <c r="K52" s="13" t="s">
        <v>49</v>
      </c>
      <c r="L52" s="13" t="s">
        <v>27</v>
      </c>
      <c r="M52" s="12" t="s">
        <v>166</v>
      </c>
      <c r="N52" s="12" t="s">
        <v>175</v>
      </c>
      <c r="O52" s="20" t="n">
        <f aca="false">COUNTIF(H52:L52,"Yes")+COUNTIF(H52:L52,"No")</f>
        <v>3</v>
      </c>
    </row>
    <row r="53" customFormat="false" ht="15" hidden="false" customHeight="false" outlineLevel="0" collapsed="false">
      <c r="A53" s="23" t="s">
        <v>14</v>
      </c>
      <c r="B53" s="8" t="s">
        <v>21</v>
      </c>
      <c r="C53" s="8" t="s">
        <v>176</v>
      </c>
      <c r="D53" s="21" t="n">
        <v>26000</v>
      </c>
      <c r="E53" s="8"/>
      <c r="F53" s="11" t="n">
        <v>0.25</v>
      </c>
      <c r="G53" s="21" t="n">
        <f aca="false">IFERROR(D53*F53,"")</f>
        <v>6500</v>
      </c>
      <c r="H53" s="9" t="s">
        <v>26</v>
      </c>
      <c r="I53" s="9" t="s">
        <v>27</v>
      </c>
      <c r="J53" s="9" t="s">
        <v>26</v>
      </c>
      <c r="K53" s="9" t="s">
        <v>26</v>
      </c>
      <c r="L53" s="9" t="s">
        <v>26</v>
      </c>
      <c r="M53" s="8"/>
      <c r="N53" s="8" t="s">
        <v>177</v>
      </c>
      <c r="O53" s="22" t="n">
        <f aca="false">COUNTIF(H53:L53,"Yes")+COUNTIF(H53:L53,"No")</f>
        <v>5</v>
      </c>
    </row>
    <row r="54" customFormat="false" ht="15" hidden="false" customHeight="false" outlineLevel="0" collapsed="false">
      <c r="A54" s="23" t="s">
        <v>14</v>
      </c>
      <c r="B54" s="12" t="s">
        <v>21</v>
      </c>
      <c r="C54" s="12" t="s">
        <v>178</v>
      </c>
      <c r="D54" s="19" t="n">
        <v>10000</v>
      </c>
      <c r="E54" s="12"/>
      <c r="F54" s="15" t="n">
        <v>0.6</v>
      </c>
      <c r="G54" s="19" t="n">
        <f aca="false">IFERROR(D54*F54,"")</f>
        <v>6000</v>
      </c>
      <c r="H54" s="13" t="s">
        <v>26</v>
      </c>
      <c r="I54" s="13" t="s">
        <v>26</v>
      </c>
      <c r="J54" s="13" t="s">
        <v>49</v>
      </c>
      <c r="K54" s="13" t="s">
        <v>26</v>
      </c>
      <c r="L54" s="13" t="s">
        <v>27</v>
      </c>
      <c r="M54" s="12"/>
      <c r="N54" s="12" t="s">
        <v>179</v>
      </c>
      <c r="O54" s="20" t="n">
        <f aca="false">COUNTIF(H54:L54,"Yes")+COUNTIF(H54:L54,"No")</f>
        <v>4</v>
      </c>
    </row>
    <row r="55" customFormat="false" ht="15" hidden="false" customHeight="false" outlineLevel="0" collapsed="false">
      <c r="A55" s="23" t="s">
        <v>14</v>
      </c>
      <c r="B55" s="8" t="s">
        <v>19</v>
      </c>
      <c r="C55" s="8" t="s">
        <v>180</v>
      </c>
      <c r="D55" s="21" t="n">
        <v>17000</v>
      </c>
      <c r="E55" s="8" t="s">
        <v>181</v>
      </c>
      <c r="F55" s="11" t="n">
        <v>0.2</v>
      </c>
      <c r="G55" s="21" t="n">
        <f aca="false">IFERROR(D55*F55,"")</f>
        <v>3400</v>
      </c>
      <c r="H55" s="9" t="s">
        <v>49</v>
      </c>
      <c r="I55" s="9" t="s">
        <v>26</v>
      </c>
      <c r="J55" s="9" t="s">
        <v>26</v>
      </c>
      <c r="K55" s="9" t="s">
        <v>26</v>
      </c>
      <c r="L55" s="9" t="s">
        <v>26</v>
      </c>
      <c r="M55" s="8" t="s">
        <v>182</v>
      </c>
      <c r="N55" s="8"/>
      <c r="O55" s="22" t="n">
        <f aca="false">COUNTIF(H55:L55,"Yes")+COUNTIF(H55:L55,"No")</f>
        <v>4</v>
      </c>
    </row>
    <row r="56" customFormat="false" ht="15" hidden="false" customHeight="false" outlineLevel="0" collapsed="false">
      <c r="A56" s="23" t="s">
        <v>14</v>
      </c>
      <c r="B56" s="12" t="s">
        <v>21</v>
      </c>
      <c r="C56" s="12" t="s">
        <v>183</v>
      </c>
      <c r="D56" s="19" t="n">
        <v>30000</v>
      </c>
      <c r="E56" s="12"/>
      <c r="F56" s="15" t="n">
        <v>0.05</v>
      </c>
      <c r="G56" s="19" t="n">
        <f aca="false">IFERROR(D56*F56,"")</f>
        <v>1500</v>
      </c>
      <c r="H56" s="13" t="s">
        <v>26</v>
      </c>
      <c r="I56" s="13" t="s">
        <v>26</v>
      </c>
      <c r="J56" s="13" t="s">
        <v>27</v>
      </c>
      <c r="K56" s="13" t="s">
        <v>27</v>
      </c>
      <c r="L56" s="13" t="s">
        <v>49</v>
      </c>
      <c r="M56" s="12"/>
      <c r="N56" s="12" t="s">
        <v>184</v>
      </c>
      <c r="O56" s="20" t="n">
        <f aca="false">COUNTIF(H56:L56,"Yes")+COUNTIF(H56:L56,"No")</f>
        <v>4</v>
      </c>
    </row>
    <row r="57" customFormat="false" ht="15" hidden="false" customHeight="false" outlineLevel="0" collapsed="false">
      <c r="A57" s="23" t="s">
        <v>14</v>
      </c>
      <c r="B57" s="8" t="s">
        <v>21</v>
      </c>
      <c r="C57" s="8" t="s">
        <v>185</v>
      </c>
      <c r="D57" s="21" t="n">
        <v>75000</v>
      </c>
      <c r="E57" s="8"/>
      <c r="F57" s="11" t="n">
        <v>0.01</v>
      </c>
      <c r="G57" s="21" t="n">
        <f aca="false">IFERROR(D57*F57,"")</f>
        <v>750</v>
      </c>
      <c r="H57" s="9" t="s">
        <v>26</v>
      </c>
      <c r="I57" s="9" t="s">
        <v>26</v>
      </c>
      <c r="J57" s="9" t="s">
        <v>27</v>
      </c>
      <c r="K57" s="9" t="s">
        <v>27</v>
      </c>
      <c r="L57" s="9" t="s">
        <v>26</v>
      </c>
      <c r="M57" s="8"/>
      <c r="N57" s="8" t="s">
        <v>186</v>
      </c>
      <c r="O57" s="22" t="n">
        <f aca="false">COUNTIF(H57:L57,"Yes")+COUNTIF(H57:L57,"No")</f>
        <v>5</v>
      </c>
    </row>
    <row r="58" customFormat="false" ht="15" hidden="false" customHeight="false" outlineLevel="0" collapsed="false">
      <c r="A58" s="23" t="s">
        <v>14</v>
      </c>
      <c r="B58" s="12" t="s">
        <v>21</v>
      </c>
      <c r="C58" s="12" t="s">
        <v>187</v>
      </c>
      <c r="D58" s="19" t="n">
        <v>33000</v>
      </c>
      <c r="E58" s="12"/>
      <c r="F58" s="15"/>
      <c r="G58" s="19" t="n">
        <f aca="false">IFERROR(D58*F58,"")</f>
        <v>0</v>
      </c>
      <c r="H58" s="13" t="s">
        <v>49</v>
      </c>
      <c r="I58" s="13" t="s">
        <v>49</v>
      </c>
      <c r="J58" s="13" t="s">
        <v>49</v>
      </c>
      <c r="K58" s="13" t="s">
        <v>49</v>
      </c>
      <c r="L58" s="13" t="s">
        <v>49</v>
      </c>
      <c r="M58" s="12"/>
      <c r="N58" s="12" t="s">
        <v>188</v>
      </c>
      <c r="O58" s="20" t="n">
        <f aca="false">COUNTIF(H58:L58,"Yes")+COUNTIF(H58:L58,"No")</f>
        <v>0</v>
      </c>
    </row>
    <row r="59" customFormat="false" ht="15" hidden="false" customHeight="false" outlineLevel="0" collapsed="false">
      <c r="A59" s="23" t="s">
        <v>14</v>
      </c>
      <c r="B59" s="8" t="s">
        <v>21</v>
      </c>
      <c r="C59" s="8" t="s">
        <v>189</v>
      </c>
      <c r="D59" s="21" t="n">
        <v>19000</v>
      </c>
      <c r="E59" s="8"/>
      <c r="F59" s="11"/>
      <c r="G59" s="21" t="n">
        <f aca="false">IFERROR(D59*F59,"")</f>
        <v>0</v>
      </c>
      <c r="H59" s="9" t="s">
        <v>26</v>
      </c>
      <c r="I59" s="9" t="s">
        <v>27</v>
      </c>
      <c r="J59" s="9" t="s">
        <v>49</v>
      </c>
      <c r="K59" s="9" t="s">
        <v>49</v>
      </c>
      <c r="L59" s="9" t="s">
        <v>49</v>
      </c>
      <c r="M59" s="8"/>
      <c r="N59" s="8" t="s">
        <v>188</v>
      </c>
      <c r="O59" s="22" t="n">
        <f aca="false">COUNTIF(H59:L59,"Yes")+COUNTIF(H59:L59,"No")</f>
        <v>2</v>
      </c>
    </row>
    <row r="60" customFormat="false" ht="15" hidden="false" customHeight="false" outlineLevel="0" collapsed="false">
      <c r="A60" s="23" t="s">
        <v>14</v>
      </c>
      <c r="B60" s="12" t="s">
        <v>19</v>
      </c>
      <c r="C60" s="12" t="s">
        <v>190</v>
      </c>
      <c r="D60" s="19"/>
      <c r="E60" s="12"/>
      <c r="F60" s="15" t="n">
        <v>0.51</v>
      </c>
      <c r="G60" s="19" t="n">
        <f aca="false">IFERROR(D60*F60,"")</f>
        <v>0</v>
      </c>
      <c r="H60" s="13" t="s">
        <v>26</v>
      </c>
      <c r="I60" s="13" t="s">
        <v>49</v>
      </c>
      <c r="J60" s="13" t="s">
        <v>49</v>
      </c>
      <c r="K60" s="13" t="s">
        <v>26</v>
      </c>
      <c r="L60" s="13" t="s">
        <v>49</v>
      </c>
      <c r="M60" s="12" t="s">
        <v>191</v>
      </c>
      <c r="N60" s="12"/>
      <c r="O60" s="20" t="n">
        <f aca="false">COUNTIF(H60:L60,"Yes")+COUNTIF(H60:L60,"No")</f>
        <v>2</v>
      </c>
    </row>
    <row r="61" customFormat="false" ht="35.05" hidden="false" customHeight="false" outlineLevel="0" collapsed="false">
      <c r="A61" s="23" t="s">
        <v>14</v>
      </c>
      <c r="B61" s="8" t="s">
        <v>22</v>
      </c>
      <c r="C61" s="8" t="s">
        <v>192</v>
      </c>
      <c r="D61" s="21"/>
      <c r="E61" s="8"/>
      <c r="F61" s="11"/>
      <c r="G61" s="21" t="n">
        <f aca="false">IFERROR(D61*F61,"")</f>
        <v>0</v>
      </c>
      <c r="H61" s="9" t="s">
        <v>27</v>
      </c>
      <c r="I61" s="9" t="s">
        <v>26</v>
      </c>
      <c r="J61" s="9" t="s">
        <v>49</v>
      </c>
      <c r="K61" s="9" t="s">
        <v>49</v>
      </c>
      <c r="L61" s="9" t="s">
        <v>49</v>
      </c>
      <c r="M61" s="8" t="s">
        <v>193</v>
      </c>
      <c r="N61" s="8" t="s">
        <v>194</v>
      </c>
      <c r="O61" s="22" t="n">
        <f aca="false">COUNTIF(H61:L61,"Yes")+COUNTIF(H61:L61,"No")</f>
        <v>2</v>
      </c>
    </row>
    <row r="62" customFormat="false" ht="15" hidden="false" customHeight="false" outlineLevel="0" collapsed="false">
      <c r="A62" s="23" t="s">
        <v>14</v>
      </c>
      <c r="B62" s="12" t="s">
        <v>21</v>
      </c>
      <c r="C62" s="12" t="s">
        <v>195</v>
      </c>
      <c r="D62" s="19"/>
      <c r="E62" s="12"/>
      <c r="F62" s="15" t="n">
        <v>0.01</v>
      </c>
      <c r="G62" s="19" t="n">
        <f aca="false">IFERROR(D62*F62,"")</f>
        <v>0</v>
      </c>
      <c r="H62" s="13" t="s">
        <v>26</v>
      </c>
      <c r="I62" s="13" t="s">
        <v>26</v>
      </c>
      <c r="J62" s="13" t="s">
        <v>26</v>
      </c>
      <c r="K62" s="13" t="s">
        <v>26</v>
      </c>
      <c r="L62" s="13" t="s">
        <v>26</v>
      </c>
      <c r="M62" s="12"/>
      <c r="N62" s="12"/>
      <c r="O62" s="20" t="n">
        <f aca="false">COUNTIF(H62:L62,"Yes")+COUNTIF(H62:L62,"No")</f>
        <v>5</v>
      </c>
    </row>
    <row r="63" customFormat="false" ht="15" hidden="false" customHeight="false" outlineLevel="0" collapsed="false">
      <c r="A63" s="23" t="s">
        <v>14</v>
      </c>
      <c r="B63" s="8" t="s">
        <v>21</v>
      </c>
      <c r="C63" s="8" t="s">
        <v>196</v>
      </c>
      <c r="D63" s="21"/>
      <c r="E63" s="8"/>
      <c r="F63" s="11" t="n">
        <v>0.4</v>
      </c>
      <c r="G63" s="21" t="n">
        <f aca="false">IFERROR(D63*F63,"")</f>
        <v>0</v>
      </c>
      <c r="H63" s="9" t="s">
        <v>27</v>
      </c>
      <c r="I63" s="9" t="s">
        <v>26</v>
      </c>
      <c r="J63" s="9" t="s">
        <v>26</v>
      </c>
      <c r="K63" s="9" t="s">
        <v>26</v>
      </c>
      <c r="L63" s="9" t="s">
        <v>26</v>
      </c>
      <c r="M63" s="8"/>
      <c r="N63" s="8" t="s">
        <v>197</v>
      </c>
      <c r="O63" s="22" t="n">
        <f aca="false">COUNTIF(H63:L63,"Yes")+COUNTIF(H63:L63,"No")</f>
        <v>5</v>
      </c>
    </row>
    <row r="64" customFormat="false" ht="15" hidden="false" customHeight="false" outlineLevel="0" collapsed="false">
      <c r="A64" s="23" t="s">
        <v>14</v>
      </c>
      <c r="B64" s="12" t="s">
        <v>21</v>
      </c>
      <c r="C64" s="12" t="s">
        <v>198</v>
      </c>
      <c r="D64" s="19"/>
      <c r="E64" s="12"/>
      <c r="F64" s="15" t="n">
        <v>0.51</v>
      </c>
      <c r="G64" s="19" t="n">
        <f aca="false">IFERROR(D64*F64,"")</f>
        <v>0</v>
      </c>
      <c r="H64" s="13" t="s">
        <v>49</v>
      </c>
      <c r="I64" s="13" t="s">
        <v>26</v>
      </c>
      <c r="J64" s="13" t="s">
        <v>49</v>
      </c>
      <c r="K64" s="13" t="s">
        <v>49</v>
      </c>
      <c r="L64" s="13" t="s">
        <v>49</v>
      </c>
      <c r="M64" s="12"/>
      <c r="N64" s="12" t="s">
        <v>188</v>
      </c>
      <c r="O64" s="20" t="n">
        <f aca="false">COUNTIF(H64:L64,"Yes")+COUNTIF(H64:L64,"No")</f>
        <v>1</v>
      </c>
    </row>
    <row r="65" customFormat="false" ht="23.85" hidden="false" customHeight="false" outlineLevel="0" collapsed="false">
      <c r="A65" s="24" t="s">
        <v>13</v>
      </c>
      <c r="B65" s="8" t="s">
        <v>20</v>
      </c>
      <c r="C65" s="8" t="s">
        <v>199</v>
      </c>
      <c r="D65" s="21" t="n">
        <v>1159000</v>
      </c>
      <c r="E65" s="8" t="s">
        <v>200</v>
      </c>
      <c r="F65" s="11" t="n">
        <v>0.2</v>
      </c>
      <c r="G65" s="21" t="n">
        <f aca="false">IFERROR(D65*F65,"")</f>
        <v>231800</v>
      </c>
      <c r="H65" s="9" t="s">
        <v>26</v>
      </c>
      <c r="I65" s="9" t="s">
        <v>26</v>
      </c>
      <c r="J65" s="9" t="s">
        <v>27</v>
      </c>
      <c r="K65" s="9" t="s">
        <v>26</v>
      </c>
      <c r="L65" s="9" t="s">
        <v>26</v>
      </c>
      <c r="M65" s="8" t="s">
        <v>201</v>
      </c>
      <c r="N65" s="8" t="s">
        <v>202</v>
      </c>
      <c r="O65" s="22" t="n">
        <f aca="false">COUNTIF(H65:L65,"Yes")+COUNTIF(H65:L65,"No")</f>
        <v>5</v>
      </c>
    </row>
    <row r="66" customFormat="false" ht="15" hidden="false" customHeight="false" outlineLevel="0" collapsed="false">
      <c r="A66" s="24" t="s">
        <v>13</v>
      </c>
      <c r="B66" s="12" t="s">
        <v>20</v>
      </c>
      <c r="C66" s="12" t="s">
        <v>203</v>
      </c>
      <c r="D66" s="19" t="n">
        <v>0</v>
      </c>
      <c r="E66" s="12"/>
      <c r="F66" s="15" t="n">
        <v>0.95</v>
      </c>
      <c r="G66" s="19" t="n">
        <f aca="false">IFERROR(D66*F66,"")</f>
        <v>0</v>
      </c>
      <c r="H66" s="13" t="s">
        <v>27</v>
      </c>
      <c r="I66" s="13" t="s">
        <v>26</v>
      </c>
      <c r="J66" s="13" t="s">
        <v>27</v>
      </c>
      <c r="K66" s="13" t="s">
        <v>26</v>
      </c>
      <c r="L66" s="13" t="s">
        <v>26</v>
      </c>
      <c r="M66" s="12" t="s">
        <v>204</v>
      </c>
      <c r="N66" s="12" t="s">
        <v>205</v>
      </c>
      <c r="O66" s="20" t="n">
        <f aca="false">COUNTIF(H66:L66,"Yes")+COUNTIF(H66:L66,"No")</f>
        <v>5</v>
      </c>
    </row>
    <row r="67" customFormat="false" ht="15" hidden="false" customHeight="false" outlineLevel="0" collapsed="false">
      <c r="A67" s="24" t="s">
        <v>13</v>
      </c>
      <c r="B67" s="8" t="s">
        <v>20</v>
      </c>
      <c r="C67" s="8" t="s">
        <v>206</v>
      </c>
      <c r="D67" s="21" t="n">
        <v>0</v>
      </c>
      <c r="E67" s="8"/>
      <c r="F67" s="11" t="n">
        <v>0.8</v>
      </c>
      <c r="G67" s="21" t="n">
        <f aca="false">IFERROR(D67*F67,"")</f>
        <v>0</v>
      </c>
      <c r="H67" s="9" t="s">
        <v>27</v>
      </c>
      <c r="I67" s="9" t="s">
        <v>26</v>
      </c>
      <c r="J67" s="9" t="s">
        <v>27</v>
      </c>
      <c r="K67" s="9" t="s">
        <v>27</v>
      </c>
      <c r="L67" s="9" t="s">
        <v>26</v>
      </c>
      <c r="M67" s="8" t="s">
        <v>207</v>
      </c>
      <c r="N67" s="8" t="s">
        <v>208</v>
      </c>
      <c r="O67" s="22" t="n">
        <f aca="false">COUNTIF(H67:L67,"Yes")+COUNTIF(H67:L67,"No")</f>
        <v>5</v>
      </c>
    </row>
    <row r="68" customFormat="false" ht="15" hidden="false" customHeight="false" outlineLevel="0" collapsed="false">
      <c r="A68" s="24" t="s">
        <v>13</v>
      </c>
      <c r="B68" s="12" t="s">
        <v>20</v>
      </c>
      <c r="C68" s="12" t="s">
        <v>209</v>
      </c>
      <c r="D68" s="19" t="n">
        <v>0</v>
      </c>
      <c r="E68" s="12"/>
      <c r="F68" s="15" t="n">
        <v>0.8</v>
      </c>
      <c r="G68" s="19" t="n">
        <f aca="false">IFERROR(D68*F68,"")</f>
        <v>0</v>
      </c>
      <c r="H68" s="13" t="s">
        <v>27</v>
      </c>
      <c r="I68" s="13" t="s">
        <v>26</v>
      </c>
      <c r="J68" s="13" t="s">
        <v>27</v>
      </c>
      <c r="K68" s="13" t="s">
        <v>26</v>
      </c>
      <c r="L68" s="13" t="s">
        <v>26</v>
      </c>
      <c r="M68" s="12" t="s">
        <v>210</v>
      </c>
      <c r="N68" s="12" t="s">
        <v>211</v>
      </c>
      <c r="O68" s="20" t="n">
        <f aca="false">COUNTIF(H68:L68,"Yes")+COUNTIF(H68:L68,"No")</f>
        <v>5</v>
      </c>
    </row>
    <row r="69" customFormat="false" ht="15" hidden="false" customHeight="false" outlineLevel="0" collapsed="false">
      <c r="A69" s="24" t="s">
        <v>13</v>
      </c>
      <c r="B69" s="8" t="s">
        <v>20</v>
      </c>
      <c r="C69" s="8" t="s">
        <v>212</v>
      </c>
      <c r="D69" s="21"/>
      <c r="E69" s="8"/>
      <c r="F69" s="11" t="n">
        <v>0.85</v>
      </c>
      <c r="G69" s="21" t="n">
        <f aca="false">IFERROR(D69*F69,"")</f>
        <v>0</v>
      </c>
      <c r="H69" s="9" t="s">
        <v>27</v>
      </c>
      <c r="I69" s="9" t="s">
        <v>27</v>
      </c>
      <c r="J69" s="9" t="s">
        <v>27</v>
      </c>
      <c r="K69" s="9" t="s">
        <v>26</v>
      </c>
      <c r="L69" s="9" t="s">
        <v>27</v>
      </c>
      <c r="M69" s="8"/>
      <c r="N69" s="8" t="s">
        <v>213</v>
      </c>
      <c r="O69" s="22" t="n">
        <f aca="false">COUNTIF(H69:L69,"Yes")+COUNTIF(H69:L69,"No")</f>
        <v>5</v>
      </c>
    </row>
    <row r="70" customFormat="false" ht="23.85" hidden="false" customHeight="false" outlineLevel="0" collapsed="false">
      <c r="A70" s="24" t="s">
        <v>13</v>
      </c>
      <c r="B70" s="12" t="s">
        <v>20</v>
      </c>
      <c r="C70" s="12" t="s">
        <v>214</v>
      </c>
      <c r="D70" s="19"/>
      <c r="E70" s="12"/>
      <c r="F70" s="15" t="n">
        <v>0.5</v>
      </c>
      <c r="G70" s="19" t="n">
        <f aca="false">IFERROR(D70*F70,"")</f>
        <v>0</v>
      </c>
      <c r="H70" s="13" t="s">
        <v>26</v>
      </c>
      <c r="I70" s="13" t="s">
        <v>26</v>
      </c>
      <c r="J70" s="13" t="s">
        <v>26</v>
      </c>
      <c r="K70" s="13" t="s">
        <v>26</v>
      </c>
      <c r="L70" s="13" t="s">
        <v>26</v>
      </c>
      <c r="M70" s="12"/>
      <c r="N70" s="12" t="s">
        <v>215</v>
      </c>
      <c r="O70" s="20" t="n">
        <f aca="false">COUNTIF(H70:L70,"Yes")+COUNTIF(H70:L70,"No")</f>
        <v>5</v>
      </c>
    </row>
    <row r="71" customFormat="false" ht="15" hidden="false" customHeight="false" outlineLevel="0" collapsed="false">
      <c r="A71" s="24" t="s">
        <v>13</v>
      </c>
      <c r="B71" s="8" t="s">
        <v>20</v>
      </c>
      <c r="C71" s="8" t="s">
        <v>216</v>
      </c>
      <c r="D71" s="21"/>
      <c r="E71" s="8"/>
      <c r="F71" s="11"/>
      <c r="G71" s="21" t="n">
        <f aca="false">IFERROR(D71*F71,"")</f>
        <v>0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27</v>
      </c>
      <c r="M71" s="8"/>
      <c r="N71" s="8" t="s">
        <v>217</v>
      </c>
      <c r="O71" s="22" t="n">
        <f aca="false">COUNTIF(H71:L71,"Yes")+COUNTIF(H71:L71,"No")</f>
        <v>5</v>
      </c>
    </row>
    <row r="72" customFormat="false" ht="23.85" hidden="false" customHeight="false" outlineLevel="0" collapsed="false">
      <c r="A72" s="24" t="s">
        <v>13</v>
      </c>
      <c r="B72" s="12" t="s">
        <v>20</v>
      </c>
      <c r="C72" s="12" t="s">
        <v>218</v>
      </c>
      <c r="D72" s="19"/>
      <c r="E72" s="12" t="s">
        <v>219</v>
      </c>
      <c r="F72" s="15" t="n">
        <v>0.9</v>
      </c>
      <c r="G72" s="19" t="n">
        <f aca="false">IFERROR(D72*F72,"")</f>
        <v>0</v>
      </c>
      <c r="H72" s="13" t="s">
        <v>27</v>
      </c>
      <c r="I72" s="13" t="s">
        <v>26</v>
      </c>
      <c r="J72" s="13" t="s">
        <v>26</v>
      </c>
      <c r="K72" s="13" t="s">
        <v>26</v>
      </c>
      <c r="L72" s="13" t="s">
        <v>27</v>
      </c>
      <c r="M72" s="12" t="s">
        <v>220</v>
      </c>
      <c r="N72" s="12" t="s">
        <v>221</v>
      </c>
      <c r="O72" s="20" t="n">
        <f aca="false">COUNTIF(H72:L72,"Yes")+COUNTIF(H72:L72,"No")</f>
        <v>5</v>
      </c>
    </row>
    <row r="73" customFormat="false" ht="23.85" hidden="false" customHeight="false" outlineLevel="0" collapsed="false">
      <c r="A73" s="24" t="s">
        <v>13</v>
      </c>
      <c r="B73" s="8" t="s">
        <v>20</v>
      </c>
      <c r="C73" s="8" t="s">
        <v>222</v>
      </c>
      <c r="D73" s="21"/>
      <c r="E73" s="8" t="s">
        <v>223</v>
      </c>
      <c r="F73" s="11" t="n">
        <v>0.9</v>
      </c>
      <c r="G73" s="21" t="n">
        <f aca="false">IFERROR(D73*F73,"")</f>
        <v>0</v>
      </c>
      <c r="H73" s="9" t="s">
        <v>27</v>
      </c>
      <c r="I73" s="9" t="s">
        <v>26</v>
      </c>
      <c r="J73" s="9" t="s">
        <v>26</v>
      </c>
      <c r="K73" s="9" t="s">
        <v>26</v>
      </c>
      <c r="L73" s="9" t="s">
        <v>27</v>
      </c>
      <c r="M73" s="8" t="s">
        <v>224</v>
      </c>
      <c r="N73" s="8" t="s">
        <v>225</v>
      </c>
      <c r="O73" s="22" t="n">
        <f aca="false">COUNTIF(H73:L73,"Yes")+COUNTIF(H73:L73,"No")</f>
        <v>5</v>
      </c>
    </row>
    <row r="74" customFormat="false" ht="23.85" hidden="false" customHeight="false" outlineLevel="0" collapsed="false">
      <c r="A74" s="24" t="s">
        <v>13</v>
      </c>
      <c r="B74" s="12" t="s">
        <v>20</v>
      </c>
      <c r="C74" s="12" t="s">
        <v>226</v>
      </c>
      <c r="D74" s="19"/>
      <c r="E74" s="12" t="s">
        <v>223</v>
      </c>
      <c r="F74" s="15" t="n">
        <v>0.9</v>
      </c>
      <c r="G74" s="19" t="n">
        <f aca="false">IFERROR(D74*F74,"")</f>
        <v>0</v>
      </c>
      <c r="H74" s="13" t="s">
        <v>27</v>
      </c>
      <c r="I74" s="13" t="s">
        <v>26</v>
      </c>
      <c r="J74" s="13" t="s">
        <v>26</v>
      </c>
      <c r="K74" s="13" t="s">
        <v>26</v>
      </c>
      <c r="L74" s="13" t="s">
        <v>27</v>
      </c>
      <c r="M74" s="12"/>
      <c r="N74" s="12" t="s">
        <v>225</v>
      </c>
      <c r="O74" s="20" t="n">
        <f aca="false">COUNTIF(H74:L74,"Yes")+COUNTIF(H74:L74,"No")</f>
        <v>5</v>
      </c>
    </row>
    <row r="75" customFormat="false" ht="23.85" hidden="false" customHeight="false" outlineLevel="0" collapsed="false">
      <c r="A75" s="24" t="s">
        <v>13</v>
      </c>
      <c r="B75" s="8" t="s">
        <v>20</v>
      </c>
      <c r="C75" s="8" t="s">
        <v>227</v>
      </c>
      <c r="D75" s="21"/>
      <c r="E75" s="8" t="s">
        <v>200</v>
      </c>
      <c r="F75" s="11"/>
      <c r="G75" s="21" t="n">
        <f aca="false">IFERROR(D75*F75,"")</f>
        <v>0</v>
      </c>
      <c r="H75" s="9" t="s">
        <v>27</v>
      </c>
      <c r="I75" s="9" t="s">
        <v>26</v>
      </c>
      <c r="J75" s="9" t="s">
        <v>27</v>
      </c>
      <c r="K75" s="9" t="s">
        <v>27</v>
      </c>
      <c r="L75" s="9" t="s">
        <v>26</v>
      </c>
      <c r="M75" s="8" t="s">
        <v>228</v>
      </c>
      <c r="N75" s="8" t="s">
        <v>229</v>
      </c>
      <c r="O75" s="22" t="n">
        <f aca="false">COUNTIF(H75:L75,"Yes")+COUNTIF(H75:L75,"No")</f>
        <v>5</v>
      </c>
    </row>
    <row r="76" customFormat="false" ht="23.85" hidden="false" customHeight="false" outlineLevel="0" collapsed="false">
      <c r="A76" s="24" t="s">
        <v>13</v>
      </c>
      <c r="B76" s="12" t="s">
        <v>20</v>
      </c>
      <c r="C76" s="12" t="s">
        <v>230</v>
      </c>
      <c r="D76" s="19"/>
      <c r="E76" s="12" t="s">
        <v>200</v>
      </c>
      <c r="F76" s="15" t="n">
        <v>0.5</v>
      </c>
      <c r="G76" s="19" t="n">
        <f aca="false">IFERROR(D76*F76,"")</f>
        <v>0</v>
      </c>
      <c r="H76" s="13" t="s">
        <v>27</v>
      </c>
      <c r="I76" s="13" t="s">
        <v>26</v>
      </c>
      <c r="J76" s="13" t="s">
        <v>27</v>
      </c>
      <c r="K76" s="13" t="s">
        <v>26</v>
      </c>
      <c r="L76" s="13" t="s">
        <v>26</v>
      </c>
      <c r="M76" s="12" t="s">
        <v>231</v>
      </c>
      <c r="N76" s="12" t="s">
        <v>232</v>
      </c>
      <c r="O76" s="20" t="n">
        <f aca="false">COUNTIF(H76:L76,"Yes")+COUNTIF(H76:L76,"No")</f>
        <v>5</v>
      </c>
    </row>
    <row r="77" customFormat="false" ht="23.85" hidden="false" customHeight="false" outlineLevel="0" collapsed="false">
      <c r="A77" s="24" t="s">
        <v>13</v>
      </c>
      <c r="B77" s="8" t="s">
        <v>20</v>
      </c>
      <c r="C77" s="8" t="s">
        <v>233</v>
      </c>
      <c r="D77" s="21"/>
      <c r="E77" s="8" t="s">
        <v>200</v>
      </c>
      <c r="F77" s="11" t="n">
        <v>0.4</v>
      </c>
      <c r="G77" s="21" t="n">
        <f aca="false">IFERROR(D77*F77,"")</f>
        <v>0</v>
      </c>
      <c r="H77" s="9" t="s">
        <v>26</v>
      </c>
      <c r="I77" s="9" t="s">
        <v>26</v>
      </c>
      <c r="J77" s="9" t="s">
        <v>27</v>
      </c>
      <c r="K77" s="9" t="s">
        <v>26</v>
      </c>
      <c r="L77" s="9" t="s">
        <v>26</v>
      </c>
      <c r="M77" s="8" t="s">
        <v>234</v>
      </c>
      <c r="N77" s="8" t="s">
        <v>235</v>
      </c>
      <c r="O77" s="22" t="n">
        <f aca="false">COUNTIF(H77:L77,"Yes")+COUNTIF(H77:L77,"No")</f>
        <v>5</v>
      </c>
    </row>
    <row r="78" customFormat="false" ht="23.85" hidden="false" customHeight="false" outlineLevel="0" collapsed="false">
      <c r="A78" s="24" t="s">
        <v>13</v>
      </c>
      <c r="B78" s="12" t="s">
        <v>19</v>
      </c>
      <c r="C78" s="12" t="s">
        <v>236</v>
      </c>
      <c r="D78" s="19" t="n">
        <v>0</v>
      </c>
      <c r="E78" s="12"/>
      <c r="F78" s="15"/>
      <c r="G78" s="19" t="n">
        <f aca="false">IFERROR(D78*F78,"")</f>
        <v>0</v>
      </c>
      <c r="H78" s="13" t="s">
        <v>27</v>
      </c>
      <c r="I78" s="13" t="s">
        <v>49</v>
      </c>
      <c r="J78" s="13" t="s">
        <v>49</v>
      </c>
      <c r="K78" s="13" t="s">
        <v>49</v>
      </c>
      <c r="L78" s="13" t="s">
        <v>49</v>
      </c>
      <c r="M78" s="12" t="s">
        <v>237</v>
      </c>
      <c r="N78" s="12" t="s">
        <v>238</v>
      </c>
      <c r="O78" s="20" t="n">
        <f aca="false">COUNTIF(H78:L78,"Yes")+COUNTIF(H78:L78,"No")</f>
        <v>1</v>
      </c>
    </row>
    <row r="79" customFormat="false" ht="35.05" hidden="false" customHeight="false" outlineLevel="0" collapsed="false">
      <c r="A79" s="24" t="s">
        <v>13</v>
      </c>
      <c r="B79" s="8" t="s">
        <v>19</v>
      </c>
      <c r="C79" s="8" t="s">
        <v>239</v>
      </c>
      <c r="D79" s="21"/>
      <c r="E79" s="8"/>
      <c r="F79" s="11"/>
      <c r="G79" s="21" t="n">
        <f aca="false">IFERROR(D79*F79,"")</f>
        <v>0</v>
      </c>
      <c r="H79" s="9" t="s">
        <v>49</v>
      </c>
      <c r="I79" s="9" t="s">
        <v>26</v>
      </c>
      <c r="J79" s="9" t="s">
        <v>49</v>
      </c>
      <c r="K79" s="9" t="s">
        <v>49</v>
      </c>
      <c r="L79" s="9" t="s">
        <v>49</v>
      </c>
      <c r="M79" s="8" t="s">
        <v>240</v>
      </c>
      <c r="N79" s="8" t="s">
        <v>241</v>
      </c>
      <c r="O79" s="22" t="n">
        <f aca="false">COUNTIF(H79:L79,"Yes")+COUNTIF(H79:L79,"No")</f>
        <v>1</v>
      </c>
    </row>
    <row r="80" customFormat="false" ht="35.05" hidden="false" customHeight="false" outlineLevel="0" collapsed="false">
      <c r="A80" s="24" t="s">
        <v>13</v>
      </c>
      <c r="B80" s="12" t="s">
        <v>19</v>
      </c>
      <c r="C80" s="12" t="s">
        <v>242</v>
      </c>
      <c r="D80" s="19"/>
      <c r="E80" s="12"/>
      <c r="F80" s="15"/>
      <c r="G80" s="19" t="n">
        <f aca="false">IFERROR(D80*F80,"")</f>
        <v>0</v>
      </c>
      <c r="H80" s="13" t="s">
        <v>27</v>
      </c>
      <c r="I80" s="13" t="s">
        <v>49</v>
      </c>
      <c r="J80" s="13" t="s">
        <v>49</v>
      </c>
      <c r="K80" s="13" t="s">
        <v>49</v>
      </c>
      <c r="L80" s="13" t="s">
        <v>49</v>
      </c>
      <c r="M80" s="12" t="s">
        <v>243</v>
      </c>
      <c r="N80" s="12" t="s">
        <v>244</v>
      </c>
      <c r="O80" s="20" t="n">
        <f aca="false">COUNTIF(H80:L80,"Yes")+COUNTIF(H80:L80,"No")</f>
        <v>1</v>
      </c>
    </row>
    <row r="81" customFormat="false" ht="35.05" hidden="false" customHeight="false" outlineLevel="0" collapsed="false">
      <c r="A81" s="24" t="s">
        <v>13</v>
      </c>
      <c r="B81" s="8" t="s">
        <v>19</v>
      </c>
      <c r="C81" s="8" t="s">
        <v>245</v>
      </c>
      <c r="D81" s="21"/>
      <c r="E81" s="8" t="s">
        <v>246</v>
      </c>
      <c r="F81" s="11" t="n">
        <v>0.99</v>
      </c>
      <c r="G81" s="21" t="n">
        <f aca="false">IFERROR(D81*F81,"")</f>
        <v>0</v>
      </c>
      <c r="H81" s="9" t="s">
        <v>49</v>
      </c>
      <c r="I81" s="9" t="s">
        <v>49</v>
      </c>
      <c r="J81" s="9" t="s">
        <v>49</v>
      </c>
      <c r="K81" s="9" t="s">
        <v>49</v>
      </c>
      <c r="L81" s="9" t="s">
        <v>49</v>
      </c>
      <c r="M81" s="8" t="s">
        <v>247</v>
      </c>
      <c r="N81" s="8" t="s">
        <v>248</v>
      </c>
      <c r="O81" s="22" t="n">
        <f aca="false">COUNTIF(H81:L81,"Yes")+COUNTIF(H81:L81,"No")</f>
        <v>0</v>
      </c>
    </row>
    <row r="82" customFormat="false" ht="15" hidden="false" customHeight="false" outlineLevel="0" collapsed="false">
      <c r="A82" s="24" t="s">
        <v>13</v>
      </c>
      <c r="B82" s="12" t="s">
        <v>19</v>
      </c>
      <c r="C82" s="12" t="s">
        <v>249</v>
      </c>
      <c r="D82" s="19"/>
      <c r="E82" s="12"/>
      <c r="F82" s="15"/>
      <c r="G82" s="19" t="n">
        <f aca="false">IFERROR(D82*F82,"")</f>
        <v>0</v>
      </c>
      <c r="H82" s="13" t="s">
        <v>49</v>
      </c>
      <c r="I82" s="13" t="s">
        <v>49</v>
      </c>
      <c r="J82" s="13" t="s">
        <v>49</v>
      </c>
      <c r="K82" s="13" t="s">
        <v>49</v>
      </c>
      <c r="L82" s="13" t="s">
        <v>49</v>
      </c>
      <c r="M82" s="12"/>
      <c r="N82" s="12" t="s">
        <v>250</v>
      </c>
      <c r="O82" s="20" t="n">
        <f aca="false">COUNTIF(H82:L82,"Yes")+COUNTIF(H82:L82,"No")</f>
        <v>0</v>
      </c>
    </row>
    <row r="83" customFormat="false" ht="23.85" hidden="false" customHeight="false" outlineLevel="0" collapsed="false">
      <c r="A83" s="24" t="s">
        <v>13</v>
      </c>
      <c r="B83" s="8" t="s">
        <v>19</v>
      </c>
      <c r="C83" s="8" t="s">
        <v>251</v>
      </c>
      <c r="D83" s="21"/>
      <c r="E83" s="8"/>
      <c r="F83" s="11"/>
      <c r="G83" s="21" t="n">
        <f aca="false">IFERROR(D83*F83,"")</f>
        <v>0</v>
      </c>
      <c r="H83" s="9" t="s">
        <v>49</v>
      </c>
      <c r="I83" s="9" t="s">
        <v>49</v>
      </c>
      <c r="J83" s="9" t="s">
        <v>49</v>
      </c>
      <c r="K83" s="9" t="s">
        <v>49</v>
      </c>
      <c r="L83" s="9" t="s">
        <v>49</v>
      </c>
      <c r="M83" s="8" t="s">
        <v>252</v>
      </c>
      <c r="N83" s="8" t="s">
        <v>253</v>
      </c>
      <c r="O83" s="22" t="n">
        <f aca="false">COUNTIF(H83:L83,"Yes")+COUNTIF(H83:L83,"No")</f>
        <v>0</v>
      </c>
    </row>
    <row r="84" customFormat="false" ht="15" hidden="false" customHeight="false" outlineLevel="0" collapsed="false">
      <c r="A84" s="24" t="s">
        <v>13</v>
      </c>
      <c r="B84" s="12" t="s">
        <v>19</v>
      </c>
      <c r="C84" s="12" t="s">
        <v>254</v>
      </c>
      <c r="D84" s="19"/>
      <c r="E84" s="12"/>
      <c r="F84" s="15"/>
      <c r="G84" s="19" t="n">
        <f aca="false">IFERROR(D84*F84,"")</f>
        <v>0</v>
      </c>
      <c r="H84" s="13" t="s">
        <v>27</v>
      </c>
      <c r="I84" s="13" t="s">
        <v>49</v>
      </c>
      <c r="J84" s="13" t="s">
        <v>26</v>
      </c>
      <c r="K84" s="13" t="s">
        <v>49</v>
      </c>
      <c r="L84" s="13" t="s">
        <v>49</v>
      </c>
      <c r="M84" s="12" t="s">
        <v>148</v>
      </c>
      <c r="N84" s="12" t="s">
        <v>255</v>
      </c>
      <c r="O84" s="20" t="n">
        <f aca="false">COUNTIF(H84:L84,"Yes")+COUNTIF(H84:L84,"No")</f>
        <v>2</v>
      </c>
    </row>
    <row r="85" customFormat="false" ht="23.85" hidden="false" customHeight="false" outlineLevel="0" collapsed="false">
      <c r="A85" s="24" t="s">
        <v>13</v>
      </c>
      <c r="B85" s="8" t="s">
        <v>19</v>
      </c>
      <c r="C85" s="8" t="s">
        <v>256</v>
      </c>
      <c r="D85" s="21"/>
      <c r="E85" s="8" t="s">
        <v>257</v>
      </c>
      <c r="F85" s="11"/>
      <c r="G85" s="21" t="n">
        <f aca="false">IFERROR(D85*F85,"")</f>
        <v>0</v>
      </c>
      <c r="H85" s="9" t="s">
        <v>49</v>
      </c>
      <c r="I85" s="9" t="s">
        <v>49</v>
      </c>
      <c r="J85" s="9" t="s">
        <v>49</v>
      </c>
      <c r="K85" s="9" t="s">
        <v>49</v>
      </c>
      <c r="L85" s="9" t="s">
        <v>49</v>
      </c>
      <c r="M85" s="8" t="s">
        <v>258</v>
      </c>
      <c r="N85" s="8" t="s">
        <v>259</v>
      </c>
      <c r="O85" s="22" t="n">
        <f aca="false">COUNTIF(H85:L85,"Yes")+COUNTIF(H85:L85,"No")</f>
        <v>0</v>
      </c>
    </row>
    <row r="86" customFormat="false" ht="23.85" hidden="false" customHeight="false" outlineLevel="0" collapsed="false">
      <c r="A86" s="24" t="s">
        <v>13</v>
      </c>
      <c r="B86" s="12" t="s">
        <v>19</v>
      </c>
      <c r="C86" s="12" t="s">
        <v>260</v>
      </c>
      <c r="D86" s="19" t="n">
        <v>0</v>
      </c>
      <c r="E86" s="12"/>
      <c r="F86" s="15"/>
      <c r="G86" s="19" t="n">
        <f aca="false">IFERROR(D86*F86,"")</f>
        <v>0</v>
      </c>
      <c r="H86" s="13" t="s">
        <v>27</v>
      </c>
      <c r="I86" s="13" t="s">
        <v>49</v>
      </c>
      <c r="J86" s="13" t="s">
        <v>49</v>
      </c>
      <c r="K86" s="13" t="s">
        <v>49</v>
      </c>
      <c r="L86" s="13" t="s">
        <v>49</v>
      </c>
      <c r="M86" s="12" t="s">
        <v>261</v>
      </c>
      <c r="N86" s="12" t="s">
        <v>262</v>
      </c>
      <c r="O86" s="20" t="n">
        <f aca="false">COUNTIF(H86:L86,"Yes")+COUNTIF(H86:L86,"No")</f>
        <v>1</v>
      </c>
    </row>
    <row r="87" customFormat="false" ht="15" hidden="false" customHeight="false" outlineLevel="0" collapsed="false">
      <c r="A87" s="24" t="s">
        <v>13</v>
      </c>
      <c r="B87" s="8" t="s">
        <v>19</v>
      </c>
      <c r="C87" s="8" t="s">
        <v>263</v>
      </c>
      <c r="D87" s="21" t="n">
        <v>0</v>
      </c>
      <c r="E87" s="8"/>
      <c r="F87" s="11"/>
      <c r="G87" s="21" t="n">
        <f aca="false">IFERROR(D87*F87,"")</f>
        <v>0</v>
      </c>
      <c r="H87" s="9" t="s">
        <v>27</v>
      </c>
      <c r="I87" s="9" t="s">
        <v>49</v>
      </c>
      <c r="J87" s="9" t="s">
        <v>49</v>
      </c>
      <c r="K87" s="9" t="s">
        <v>49</v>
      </c>
      <c r="L87" s="9" t="s">
        <v>49</v>
      </c>
      <c r="M87" s="8" t="s">
        <v>264</v>
      </c>
      <c r="N87" s="8" t="s">
        <v>265</v>
      </c>
      <c r="O87" s="22" t="n">
        <f aca="false">COUNTIF(H87:L87,"Yes")+COUNTIF(H87:L87,"No")</f>
        <v>1</v>
      </c>
    </row>
    <row r="88" customFormat="false" ht="15" hidden="false" customHeight="false" outlineLevel="0" collapsed="false">
      <c r="A88" s="24" t="s">
        <v>13</v>
      </c>
      <c r="B88" s="12" t="s">
        <v>19</v>
      </c>
      <c r="C88" s="12" t="s">
        <v>266</v>
      </c>
      <c r="D88" s="19"/>
      <c r="E88" s="12"/>
      <c r="F88" s="15"/>
      <c r="G88" s="19" t="n">
        <f aca="false">IFERROR(D88*F88,"")</f>
        <v>0</v>
      </c>
      <c r="H88" s="13" t="s">
        <v>49</v>
      </c>
      <c r="I88" s="13" t="s">
        <v>49</v>
      </c>
      <c r="J88" s="13" t="s">
        <v>49</v>
      </c>
      <c r="K88" s="13" t="s">
        <v>49</v>
      </c>
      <c r="L88" s="13" t="s">
        <v>49</v>
      </c>
      <c r="M88" s="12"/>
      <c r="N88" s="12"/>
      <c r="O88" s="20" t="n">
        <f aca="false">COUNTIF(H88:L88,"Yes")+COUNTIF(H88:L88,"No")</f>
        <v>0</v>
      </c>
    </row>
    <row r="89" customFormat="false" ht="23.85" hidden="false" customHeight="false" outlineLevel="0" collapsed="false">
      <c r="A89" s="24" t="s">
        <v>13</v>
      </c>
      <c r="B89" s="8" t="s">
        <v>19</v>
      </c>
      <c r="C89" s="8" t="s">
        <v>267</v>
      </c>
      <c r="D89" s="21" t="n">
        <v>0</v>
      </c>
      <c r="E89" s="8"/>
      <c r="F89" s="11"/>
      <c r="G89" s="21" t="n">
        <f aca="false">IFERROR(D89*F89,"")</f>
        <v>0</v>
      </c>
      <c r="H89" s="9" t="s">
        <v>27</v>
      </c>
      <c r="I89" s="9" t="s">
        <v>49</v>
      </c>
      <c r="J89" s="9" t="s">
        <v>49</v>
      </c>
      <c r="K89" s="9" t="s">
        <v>49</v>
      </c>
      <c r="L89" s="9" t="s">
        <v>49</v>
      </c>
      <c r="M89" s="8" t="s">
        <v>112</v>
      </c>
      <c r="N89" s="8" t="s">
        <v>268</v>
      </c>
      <c r="O89" s="22" t="n">
        <f aca="false">COUNTIF(H89:L89,"Yes")+COUNTIF(H89:L89,"No")</f>
        <v>1</v>
      </c>
    </row>
    <row r="90" customFormat="false" ht="23.85" hidden="false" customHeight="false" outlineLevel="0" collapsed="false">
      <c r="A90" s="24" t="s">
        <v>13</v>
      </c>
      <c r="B90" s="12" t="s">
        <v>19</v>
      </c>
      <c r="C90" s="12" t="s">
        <v>269</v>
      </c>
      <c r="D90" s="19" t="n">
        <v>0</v>
      </c>
      <c r="E90" s="12"/>
      <c r="F90" s="15"/>
      <c r="G90" s="19" t="n">
        <f aca="false">IFERROR(D90*F90,"")</f>
        <v>0</v>
      </c>
      <c r="H90" s="13" t="s">
        <v>27</v>
      </c>
      <c r="I90" s="13" t="s">
        <v>49</v>
      </c>
      <c r="J90" s="13" t="s">
        <v>49</v>
      </c>
      <c r="K90" s="13" t="s">
        <v>49</v>
      </c>
      <c r="L90" s="13" t="s">
        <v>49</v>
      </c>
      <c r="M90" s="12" t="s">
        <v>112</v>
      </c>
      <c r="N90" s="12" t="s">
        <v>270</v>
      </c>
      <c r="O90" s="20" t="n">
        <f aca="false">COUNTIF(H90:L90,"Yes")+COUNTIF(H90:L90,"No")</f>
        <v>1</v>
      </c>
    </row>
    <row r="91" customFormat="false" ht="23.85" hidden="false" customHeight="false" outlineLevel="0" collapsed="false">
      <c r="A91" s="24" t="s">
        <v>13</v>
      </c>
      <c r="B91" s="8" t="s">
        <v>19</v>
      </c>
      <c r="C91" s="8" t="s">
        <v>271</v>
      </c>
      <c r="D91" s="21" t="n">
        <v>0</v>
      </c>
      <c r="E91" s="8"/>
      <c r="F91" s="11"/>
      <c r="G91" s="21" t="n">
        <f aca="false">IFERROR(D91*F91,"")</f>
        <v>0</v>
      </c>
      <c r="H91" s="9" t="s">
        <v>27</v>
      </c>
      <c r="I91" s="9" t="s">
        <v>49</v>
      </c>
      <c r="J91" s="9" t="s">
        <v>49</v>
      </c>
      <c r="K91" s="9" t="s">
        <v>49</v>
      </c>
      <c r="L91" s="9" t="s">
        <v>49</v>
      </c>
      <c r="M91" s="8" t="s">
        <v>272</v>
      </c>
      <c r="N91" s="8" t="s">
        <v>273</v>
      </c>
      <c r="O91" s="22" t="n">
        <f aca="false">COUNTIF(H91:L91,"Yes")+COUNTIF(H91:L91,"No")</f>
        <v>1</v>
      </c>
    </row>
    <row r="92" customFormat="false" ht="23.85" hidden="false" customHeight="false" outlineLevel="0" collapsed="false">
      <c r="A92" s="24" t="s">
        <v>13</v>
      </c>
      <c r="B92" s="12" t="s">
        <v>19</v>
      </c>
      <c r="C92" s="12" t="s">
        <v>274</v>
      </c>
      <c r="D92" s="19" t="n">
        <v>0</v>
      </c>
      <c r="E92" s="12"/>
      <c r="F92" s="15"/>
      <c r="G92" s="19" t="n">
        <f aca="false">IFERROR(D92*F92,"")</f>
        <v>0</v>
      </c>
      <c r="H92" s="13" t="s">
        <v>27</v>
      </c>
      <c r="I92" s="13" t="s">
        <v>49</v>
      </c>
      <c r="J92" s="13" t="s">
        <v>49</v>
      </c>
      <c r="K92" s="13" t="s">
        <v>49</v>
      </c>
      <c r="L92" s="13" t="s">
        <v>49</v>
      </c>
      <c r="M92" s="12" t="s">
        <v>148</v>
      </c>
      <c r="N92" s="12" t="s">
        <v>275</v>
      </c>
      <c r="O92" s="20" t="n">
        <f aca="false">COUNTIF(H92:L92,"Yes")+COUNTIF(H92:L92,"No")</f>
        <v>1</v>
      </c>
    </row>
    <row r="93" customFormat="false" ht="15" hidden="false" customHeight="false" outlineLevel="0" collapsed="false">
      <c r="A93" s="24" t="s">
        <v>13</v>
      </c>
      <c r="B93" s="8" t="s">
        <v>19</v>
      </c>
      <c r="C93" s="8" t="s">
        <v>276</v>
      </c>
      <c r="D93" s="21" t="n">
        <v>0</v>
      </c>
      <c r="E93" s="8"/>
      <c r="F93" s="11"/>
      <c r="G93" s="21" t="n">
        <f aca="false">IFERROR(D93*F93,"")</f>
        <v>0</v>
      </c>
      <c r="H93" s="9" t="s">
        <v>27</v>
      </c>
      <c r="I93" s="9" t="s">
        <v>49</v>
      </c>
      <c r="J93" s="9" t="s">
        <v>49</v>
      </c>
      <c r="K93" s="9" t="s">
        <v>49</v>
      </c>
      <c r="L93" s="9" t="s">
        <v>49</v>
      </c>
      <c r="M93" s="8" t="s">
        <v>277</v>
      </c>
      <c r="N93" s="8" t="s">
        <v>278</v>
      </c>
      <c r="O93" s="22" t="n">
        <f aca="false">COUNTIF(H93:L93,"Yes")+COUNTIF(H93:L93,"No")</f>
        <v>1</v>
      </c>
    </row>
    <row r="94" customFormat="false" ht="15" hidden="false" customHeight="false" outlineLevel="0" collapsed="false">
      <c r="A94" s="24" t="s">
        <v>13</v>
      </c>
      <c r="B94" s="12" t="s">
        <v>19</v>
      </c>
      <c r="C94" s="12" t="s">
        <v>279</v>
      </c>
      <c r="D94" s="19"/>
      <c r="E94" s="12" t="s">
        <v>280</v>
      </c>
      <c r="F94" s="15"/>
      <c r="G94" s="19" t="n">
        <f aca="false">IFERROR(D94*F94,"")</f>
        <v>0</v>
      </c>
      <c r="H94" s="13" t="s">
        <v>49</v>
      </c>
      <c r="I94" s="13" t="s">
        <v>49</v>
      </c>
      <c r="J94" s="13" t="s">
        <v>49</v>
      </c>
      <c r="K94" s="13" t="s">
        <v>49</v>
      </c>
      <c r="L94" s="13" t="s">
        <v>49</v>
      </c>
      <c r="M94" s="12" t="s">
        <v>281</v>
      </c>
      <c r="N94" s="12" t="s">
        <v>282</v>
      </c>
      <c r="O94" s="20" t="n">
        <f aca="false">COUNTIF(H94:L94,"Yes")+COUNTIF(H94:L94,"No")</f>
        <v>0</v>
      </c>
    </row>
    <row r="95" customFormat="false" ht="15" hidden="false" customHeight="false" outlineLevel="0" collapsed="false">
      <c r="A95" s="24" t="s">
        <v>13</v>
      </c>
      <c r="B95" s="8" t="s">
        <v>19</v>
      </c>
      <c r="C95" s="8" t="s">
        <v>283</v>
      </c>
      <c r="D95" s="21"/>
      <c r="E95" s="8"/>
      <c r="F95" s="11"/>
      <c r="G95" s="21" t="n">
        <f aca="false">IFERROR(D95*F95,"")</f>
        <v>0</v>
      </c>
      <c r="H95" s="9" t="s">
        <v>49</v>
      </c>
      <c r="I95" s="9" t="s">
        <v>49</v>
      </c>
      <c r="J95" s="9" t="s">
        <v>49</v>
      </c>
      <c r="K95" s="9" t="s">
        <v>49</v>
      </c>
      <c r="L95" s="9" t="s">
        <v>49</v>
      </c>
      <c r="M95" s="8"/>
      <c r="N95" s="8"/>
      <c r="O95" s="22" t="n">
        <f aca="false">COUNTIF(H95:L95,"Yes")+COUNTIF(H95:L95,"No")</f>
        <v>0</v>
      </c>
    </row>
    <row r="96" customFormat="false" ht="23.85" hidden="false" customHeight="false" outlineLevel="0" collapsed="false">
      <c r="A96" s="24" t="s">
        <v>13</v>
      </c>
      <c r="B96" s="12" t="s">
        <v>19</v>
      </c>
      <c r="C96" s="12" t="s">
        <v>284</v>
      </c>
      <c r="D96" s="19"/>
      <c r="E96" s="12" t="s">
        <v>225</v>
      </c>
      <c r="F96" s="15"/>
      <c r="G96" s="19" t="n">
        <f aca="false">IFERROR(D96*F96,"")</f>
        <v>0</v>
      </c>
      <c r="H96" s="13" t="s">
        <v>49</v>
      </c>
      <c r="I96" s="13" t="s">
        <v>49</v>
      </c>
      <c r="J96" s="13" t="s">
        <v>49</v>
      </c>
      <c r="K96" s="13" t="s">
        <v>49</v>
      </c>
      <c r="L96" s="13" t="s">
        <v>49</v>
      </c>
      <c r="M96" s="12"/>
      <c r="N96" s="12" t="s">
        <v>285</v>
      </c>
      <c r="O96" s="20" t="n">
        <f aca="false">COUNTIF(H96:L96,"Yes")+COUNTIF(H96:L96,"No")</f>
        <v>0</v>
      </c>
    </row>
    <row r="97" customFormat="false" ht="23.85" hidden="false" customHeight="false" outlineLevel="0" collapsed="false">
      <c r="A97" s="24" t="s">
        <v>13</v>
      </c>
      <c r="B97" s="8" t="s">
        <v>22</v>
      </c>
      <c r="C97" s="8" t="s">
        <v>286</v>
      </c>
      <c r="D97" s="21" t="n">
        <v>0</v>
      </c>
      <c r="E97" s="8"/>
      <c r="F97" s="11" t="n">
        <v>0.05</v>
      </c>
      <c r="G97" s="21" t="n">
        <f aca="false">IFERROR(D97*F97,"")</f>
        <v>0</v>
      </c>
      <c r="H97" s="9" t="s">
        <v>27</v>
      </c>
      <c r="I97" s="9" t="s">
        <v>27</v>
      </c>
      <c r="J97" s="9" t="s">
        <v>49</v>
      </c>
      <c r="K97" s="9" t="s">
        <v>49</v>
      </c>
      <c r="L97" s="9" t="s">
        <v>49</v>
      </c>
      <c r="M97" s="8"/>
      <c r="N97" s="8" t="s">
        <v>287</v>
      </c>
      <c r="O97" s="22" t="n">
        <f aca="false">COUNTIF(H97:L97,"Yes")+COUNTIF(H97:L97,"No")</f>
        <v>2</v>
      </c>
    </row>
    <row r="98" customFormat="false" ht="15" hidden="false" customHeight="false" outlineLevel="0" collapsed="false">
      <c r="A98" s="24" t="s">
        <v>13</v>
      </c>
      <c r="B98" s="12" t="s">
        <v>22</v>
      </c>
      <c r="C98" s="12" t="s">
        <v>288</v>
      </c>
      <c r="D98" s="19" t="n">
        <v>0</v>
      </c>
      <c r="E98" s="12" t="s">
        <v>154</v>
      </c>
      <c r="F98" s="15"/>
      <c r="G98" s="19" t="n">
        <f aca="false">IFERROR(D98*F98,"")</f>
        <v>0</v>
      </c>
      <c r="H98" s="13" t="s">
        <v>27</v>
      </c>
      <c r="I98" s="13" t="s">
        <v>26</v>
      </c>
      <c r="J98" s="13" t="s">
        <v>27</v>
      </c>
      <c r="K98" s="13" t="s">
        <v>27</v>
      </c>
      <c r="L98" s="13" t="s">
        <v>49</v>
      </c>
      <c r="M98" s="12" t="s">
        <v>289</v>
      </c>
      <c r="N98" s="12" t="s">
        <v>290</v>
      </c>
      <c r="O98" s="20" t="n">
        <f aca="false">COUNTIF(H98:L98,"Yes")+COUNTIF(H98:L98,"No")</f>
        <v>4</v>
      </c>
    </row>
    <row r="99" customFormat="false" ht="15" hidden="false" customHeight="false" outlineLevel="0" collapsed="false">
      <c r="A99" s="24" t="s">
        <v>13</v>
      </c>
      <c r="B99" s="8" t="s">
        <v>22</v>
      </c>
      <c r="C99" s="8" t="s">
        <v>291</v>
      </c>
      <c r="D99" s="21" t="n">
        <v>0</v>
      </c>
      <c r="E99" s="8" t="s">
        <v>225</v>
      </c>
      <c r="F99" s="11"/>
      <c r="G99" s="21" t="n">
        <f aca="false">IFERROR(D99*F99,"")</f>
        <v>0</v>
      </c>
      <c r="H99" s="9" t="s">
        <v>27</v>
      </c>
      <c r="I99" s="9" t="s">
        <v>26</v>
      </c>
      <c r="J99" s="9" t="s">
        <v>27</v>
      </c>
      <c r="K99" s="9" t="s">
        <v>27</v>
      </c>
      <c r="L99" s="9" t="s">
        <v>26</v>
      </c>
      <c r="M99" s="8"/>
      <c r="N99" s="8" t="s">
        <v>292</v>
      </c>
      <c r="O99" s="22" t="n">
        <f aca="false">COUNTIF(H99:L99,"Yes")+COUNTIF(H99:L99,"No")</f>
        <v>5</v>
      </c>
    </row>
    <row r="100" customFormat="false" ht="15" hidden="false" customHeight="false" outlineLevel="0" collapsed="false">
      <c r="A100" s="24" t="s">
        <v>13</v>
      </c>
      <c r="B100" s="12" t="s">
        <v>22</v>
      </c>
      <c r="C100" s="12" t="s">
        <v>293</v>
      </c>
      <c r="D100" s="19" t="n">
        <v>0</v>
      </c>
      <c r="E100" s="12"/>
      <c r="F100" s="15"/>
      <c r="G100" s="19" t="n">
        <f aca="false">IFERROR(D100*F100,"")</f>
        <v>0</v>
      </c>
      <c r="H100" s="13" t="s">
        <v>27</v>
      </c>
      <c r="I100" s="13" t="s">
        <v>26</v>
      </c>
      <c r="J100" s="13" t="s">
        <v>27</v>
      </c>
      <c r="K100" s="13" t="s">
        <v>27</v>
      </c>
      <c r="L100" s="13" t="s">
        <v>26</v>
      </c>
      <c r="M100" s="12"/>
      <c r="N100" s="12"/>
      <c r="O100" s="20" t="n">
        <f aca="false">COUNTIF(H100:L100,"Yes")+COUNTIF(H100:L100,"No")</f>
        <v>5</v>
      </c>
    </row>
    <row r="101" customFormat="false" ht="15" hidden="false" customHeight="false" outlineLevel="0" collapsed="false">
      <c r="A101" s="24" t="s">
        <v>13</v>
      </c>
      <c r="B101" s="8" t="s">
        <v>22</v>
      </c>
      <c r="C101" s="8" t="s">
        <v>294</v>
      </c>
      <c r="D101" s="21" t="n">
        <v>0</v>
      </c>
      <c r="E101" s="8"/>
      <c r="F101" s="11"/>
      <c r="G101" s="21" t="n">
        <f aca="false">IFERROR(D101*F101,"")</f>
        <v>0</v>
      </c>
      <c r="H101" s="9" t="s">
        <v>27</v>
      </c>
      <c r="I101" s="9" t="s">
        <v>49</v>
      </c>
      <c r="J101" s="9" t="s">
        <v>49</v>
      </c>
      <c r="K101" s="9" t="s">
        <v>49</v>
      </c>
      <c r="L101" s="9" t="s">
        <v>49</v>
      </c>
      <c r="M101" s="8"/>
      <c r="N101" s="8" t="s">
        <v>295</v>
      </c>
      <c r="O101" s="22" t="n">
        <f aca="false">COUNTIF(H101:L101,"Yes")+COUNTIF(H101:L101,"No")</f>
        <v>1</v>
      </c>
    </row>
    <row r="102" customFormat="false" ht="15" hidden="false" customHeight="false" outlineLevel="0" collapsed="false">
      <c r="A102" s="24" t="s">
        <v>13</v>
      </c>
      <c r="B102" s="12" t="s">
        <v>22</v>
      </c>
      <c r="C102" s="12" t="s">
        <v>296</v>
      </c>
      <c r="D102" s="19"/>
      <c r="E102" s="12" t="s">
        <v>225</v>
      </c>
      <c r="F102" s="15" t="n">
        <v>0.25</v>
      </c>
      <c r="G102" s="19" t="n">
        <f aca="false">IFERROR(D102*F102,"")</f>
        <v>0</v>
      </c>
      <c r="H102" s="13" t="s">
        <v>27</v>
      </c>
      <c r="I102" s="13" t="s">
        <v>26</v>
      </c>
      <c r="J102" s="13" t="s">
        <v>27</v>
      </c>
      <c r="K102" s="13" t="s">
        <v>27</v>
      </c>
      <c r="L102" s="13" t="s">
        <v>26</v>
      </c>
      <c r="M102" s="12" t="s">
        <v>297</v>
      </c>
      <c r="N102" s="12" t="s">
        <v>298</v>
      </c>
      <c r="O102" s="20" t="n">
        <f aca="false">COUNTIF(H102:L102,"Yes")+COUNTIF(H102:L102,"No")</f>
        <v>5</v>
      </c>
    </row>
    <row r="103" customFormat="false" ht="15" hidden="false" customHeight="false" outlineLevel="0" collapsed="false">
      <c r="A103" s="24" t="s">
        <v>13</v>
      </c>
      <c r="B103" s="8" t="s">
        <v>21</v>
      </c>
      <c r="C103" s="8" t="s">
        <v>299</v>
      </c>
      <c r="D103" s="21"/>
      <c r="E103" s="8"/>
      <c r="F103" s="11" t="n">
        <v>0.15</v>
      </c>
      <c r="G103" s="21" t="n">
        <f aca="false">IFERROR(D103*F103,"")</f>
        <v>0</v>
      </c>
      <c r="H103" s="9" t="s">
        <v>27</v>
      </c>
      <c r="I103" s="9" t="s">
        <v>26</v>
      </c>
      <c r="J103" s="9" t="s">
        <v>27</v>
      </c>
      <c r="K103" s="9" t="s">
        <v>49</v>
      </c>
      <c r="L103" s="9" t="s">
        <v>49</v>
      </c>
      <c r="M103" s="8"/>
      <c r="N103" s="8" t="s">
        <v>300</v>
      </c>
      <c r="O103" s="22" t="n">
        <f aca="false">COUNTIF(H103:L103,"Yes")+COUNTIF(H103:L103,"No")</f>
        <v>3</v>
      </c>
    </row>
    <row r="104" customFormat="false" ht="15" hidden="false" customHeight="false" outlineLevel="0" collapsed="false">
      <c r="A104" s="24" t="s">
        <v>13</v>
      </c>
      <c r="B104" s="12" t="s">
        <v>21</v>
      </c>
      <c r="C104" s="12" t="s">
        <v>301</v>
      </c>
      <c r="D104" s="19"/>
      <c r="E104" s="12" t="s">
        <v>302</v>
      </c>
      <c r="F104" s="15" t="n">
        <v>0.05</v>
      </c>
      <c r="G104" s="19" t="n">
        <f aca="false">IFERROR(D104*F104,"")</f>
        <v>0</v>
      </c>
      <c r="H104" s="13" t="s">
        <v>27</v>
      </c>
      <c r="I104" s="13" t="s">
        <v>27</v>
      </c>
      <c r="J104" s="13" t="s">
        <v>27</v>
      </c>
      <c r="K104" s="13" t="s">
        <v>26</v>
      </c>
      <c r="L104" s="13" t="s">
        <v>26</v>
      </c>
      <c r="M104" s="12"/>
      <c r="N104" s="12" t="s">
        <v>303</v>
      </c>
      <c r="O104" s="20" t="n">
        <f aca="false">COUNTIF(H104:L104,"Yes")+COUNTIF(H104:L104,"No")</f>
        <v>5</v>
      </c>
    </row>
    <row r="105" customFormat="false" ht="15" hidden="false" customHeight="false" outlineLevel="0" collapsed="false">
      <c r="A105" s="24" t="s">
        <v>13</v>
      </c>
      <c r="B105" s="8" t="s">
        <v>21</v>
      </c>
      <c r="C105" s="8" t="s">
        <v>304</v>
      </c>
      <c r="D105" s="21"/>
      <c r="E105" s="8"/>
      <c r="F105" s="11" t="n">
        <v>0.51</v>
      </c>
      <c r="G105" s="21" t="n">
        <f aca="false">IFERROR(D105*F105,"")</f>
        <v>0</v>
      </c>
      <c r="H105" s="9" t="s">
        <v>49</v>
      </c>
      <c r="I105" s="9" t="s">
        <v>49</v>
      </c>
      <c r="J105" s="9" t="s">
        <v>49</v>
      </c>
      <c r="K105" s="9" t="s">
        <v>49</v>
      </c>
      <c r="L105" s="9" t="s">
        <v>49</v>
      </c>
      <c r="M105" s="8"/>
      <c r="N105" s="8" t="s">
        <v>305</v>
      </c>
      <c r="O105" s="22" t="n">
        <f aca="false">COUNTIF(H105:L105,"Yes")+COUNTIF(H105:L105,"No")</f>
        <v>0</v>
      </c>
    </row>
    <row r="106" customFormat="false" ht="15" hidden="false" customHeight="false" outlineLevel="0" collapsed="false">
      <c r="A106" s="24" t="s">
        <v>13</v>
      </c>
      <c r="B106" s="12" t="s">
        <v>21</v>
      </c>
      <c r="C106" s="12" t="s">
        <v>306</v>
      </c>
      <c r="D106" s="19"/>
      <c r="E106" s="12"/>
      <c r="F106" s="15" t="n">
        <v>0.51</v>
      </c>
      <c r="G106" s="19" t="n">
        <f aca="false">IFERROR(D106*F106,"")</f>
        <v>0</v>
      </c>
      <c r="H106" s="13" t="s">
        <v>27</v>
      </c>
      <c r="I106" s="13" t="s">
        <v>27</v>
      </c>
      <c r="J106" s="13" t="s">
        <v>27</v>
      </c>
      <c r="K106" s="13" t="s">
        <v>26</v>
      </c>
      <c r="L106" s="13" t="s">
        <v>26</v>
      </c>
      <c r="M106" s="12"/>
      <c r="N106" s="12" t="s">
        <v>305</v>
      </c>
      <c r="O106" s="20" t="n">
        <f aca="false">COUNTIF(H106:L106,"Yes")+COUNTIF(H106:L106,"No")</f>
        <v>5</v>
      </c>
    </row>
    <row r="107" customFormat="false" ht="15" hidden="false" customHeight="false" outlineLevel="0" collapsed="false">
      <c r="A107" s="24" t="s">
        <v>13</v>
      </c>
      <c r="B107" s="8" t="s">
        <v>21</v>
      </c>
      <c r="C107" s="8" t="s">
        <v>307</v>
      </c>
      <c r="D107" s="21"/>
      <c r="E107" s="8"/>
      <c r="F107" s="11" t="n">
        <v>0.51</v>
      </c>
      <c r="G107" s="21" t="n">
        <f aca="false">IFERROR(D107*F107,"")</f>
        <v>0</v>
      </c>
      <c r="H107" s="9" t="s">
        <v>49</v>
      </c>
      <c r="I107" s="9" t="s">
        <v>26</v>
      </c>
      <c r="J107" s="9" t="s">
        <v>26</v>
      </c>
      <c r="K107" s="9" t="s">
        <v>26</v>
      </c>
      <c r="L107" s="9" t="s">
        <v>27</v>
      </c>
      <c r="M107" s="8"/>
      <c r="N107" s="8" t="s">
        <v>308</v>
      </c>
      <c r="O107" s="22" t="n">
        <f aca="false">COUNTIF(H107:L107,"Yes")+COUNTIF(H107:L107,"No")</f>
        <v>4</v>
      </c>
    </row>
    <row r="108" customFormat="false" ht="15" hidden="false" customHeight="false" outlineLevel="0" collapsed="false">
      <c r="A108" s="24" t="s">
        <v>13</v>
      </c>
      <c r="B108" s="12" t="s">
        <v>21</v>
      </c>
      <c r="C108" s="12" t="s">
        <v>309</v>
      </c>
      <c r="D108" s="19"/>
      <c r="E108" s="12"/>
      <c r="F108" s="15"/>
      <c r="G108" s="19" t="n">
        <f aca="false">IFERROR(D108*F108,"")</f>
        <v>0</v>
      </c>
      <c r="H108" s="13" t="s">
        <v>49</v>
      </c>
      <c r="I108" s="13" t="s">
        <v>49</v>
      </c>
      <c r="J108" s="13" t="s">
        <v>49</v>
      </c>
      <c r="K108" s="13" t="s">
        <v>49</v>
      </c>
      <c r="L108" s="13" t="s">
        <v>49</v>
      </c>
      <c r="M108" s="12"/>
      <c r="N108" s="12"/>
      <c r="O108" s="20" t="n">
        <f aca="false">COUNTIF(H108:L108,"Yes")+COUNTIF(H108:L108,"No")</f>
        <v>0</v>
      </c>
    </row>
  </sheetData>
  <autoFilter ref="A1:O108"/>
  <conditionalFormatting sqref="F2:F108">
    <cfRule type="cellIs" priority="2" operator="lessThan" aboveAverage="0" equalAverage="0" bottom="0" percent="0" rank="0" text="" dxfId="0">
      <formula>0.2</formula>
    </cfRule>
    <cfRule type="cellIs" priority="3" operator="greaterThanOrEqual" aboveAverage="0" equalAverage="0" bottom="0" percent="0" rank="0" text="" dxfId="1">
      <formula>0.85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4" min="3" style="0" width="48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1" t="s">
        <v>310</v>
      </c>
    </row>
    <row r="3" customFormat="false" ht="18" hidden="false" customHeight="true" outlineLevel="0" collapsed="false">
      <c r="B3" s="25" t="s">
        <v>311</v>
      </c>
      <c r="C3" s="25"/>
      <c r="D3" s="25"/>
      <c r="E3" s="25"/>
    </row>
    <row r="4" customFormat="false" ht="15" hidden="false" customHeight="false" outlineLevel="0" collapsed="false">
      <c r="B4" s="25"/>
      <c r="C4" s="25"/>
      <c r="D4" s="25"/>
      <c r="E4" s="25"/>
    </row>
    <row r="6" customFormat="false" ht="27.75" hidden="false" customHeight="true" outlineLevel="0" collapsed="false">
      <c r="A6" s="7"/>
      <c r="B6" s="7" t="s">
        <v>7</v>
      </c>
      <c r="C6" s="7" t="s">
        <v>312</v>
      </c>
      <c r="D6" s="7" t="s">
        <v>313</v>
      </c>
      <c r="E6" s="7" t="s">
        <v>314</v>
      </c>
    </row>
    <row r="7" customFormat="false" ht="94.5" hidden="false" customHeight="true" outlineLevel="0" collapsed="false">
      <c r="A7" s="8"/>
      <c r="B7" s="26" t="s">
        <v>315</v>
      </c>
      <c r="C7" s="8" t="s">
        <v>316</v>
      </c>
      <c r="D7" s="8" t="s">
        <v>317</v>
      </c>
      <c r="E7" s="8" t="s">
        <v>318</v>
      </c>
    </row>
    <row r="8" customFormat="false" ht="94.5" hidden="false" customHeight="true" outlineLevel="0" collapsed="false">
      <c r="A8" s="8"/>
      <c r="B8" s="27" t="s">
        <v>319</v>
      </c>
      <c r="C8" s="8" t="s">
        <v>320</v>
      </c>
      <c r="D8" s="8" t="s">
        <v>321</v>
      </c>
      <c r="E8" s="8" t="s">
        <v>322</v>
      </c>
    </row>
    <row r="9" customFormat="false" ht="94.5" hidden="false" customHeight="true" outlineLevel="0" collapsed="false">
      <c r="A9" s="8"/>
      <c r="B9" s="28" t="s">
        <v>323</v>
      </c>
      <c r="C9" s="8" t="s">
        <v>324</v>
      </c>
      <c r="D9" s="8" t="s">
        <v>325</v>
      </c>
      <c r="E9" s="8" t="s">
        <v>326</v>
      </c>
    </row>
    <row r="10" customFormat="false" ht="94.5" hidden="false" customHeight="true" outlineLevel="0" collapsed="false">
      <c r="A10" s="8"/>
      <c r="B10" s="29" t="s">
        <v>327</v>
      </c>
      <c r="C10" s="8" t="s">
        <v>328</v>
      </c>
      <c r="D10" s="8" t="s">
        <v>329</v>
      </c>
      <c r="E10" s="8" t="s">
        <v>330</v>
      </c>
    </row>
    <row r="11" customFormat="false" ht="94.5" hidden="false" customHeight="true" outlineLevel="0" collapsed="false">
      <c r="A11" s="8"/>
      <c r="B11" s="30" t="s">
        <v>331</v>
      </c>
      <c r="C11" s="8" t="s">
        <v>332</v>
      </c>
      <c r="D11" s="8" t="s">
        <v>333</v>
      </c>
      <c r="E11" s="8" t="s">
        <v>334</v>
      </c>
    </row>
    <row r="13" customFormat="false" ht="15" hidden="false" customHeight="false" outlineLevel="0" collapsed="false">
      <c r="B13" s="6" t="s">
        <v>335</v>
      </c>
    </row>
    <row r="14" customFormat="false" ht="15" hidden="false" customHeight="true" outlineLevel="0" collapsed="false">
      <c r="B14" s="31" t="s">
        <v>336</v>
      </c>
      <c r="C14" s="31"/>
      <c r="D14" s="31"/>
      <c r="E14" s="31"/>
    </row>
    <row r="15" customFormat="false" ht="15" hidden="false" customHeight="false" outlineLevel="0" collapsed="false">
      <c r="B15" s="31"/>
      <c r="C15" s="31"/>
      <c r="D15" s="31"/>
      <c r="E15" s="31"/>
    </row>
    <row r="16" customFormat="false" ht="15" hidden="false" customHeight="false" outlineLevel="0" collapsed="false">
      <c r="B16" s="31"/>
      <c r="C16" s="31"/>
      <c r="D16" s="31"/>
      <c r="E16" s="31"/>
    </row>
  </sheetData>
  <mergeCells count="2">
    <mergeCell ref="B3:E4"/>
    <mergeCell ref="B14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7" t="s">
        <v>337</v>
      </c>
      <c r="B1" s="7" t="s">
        <v>18</v>
      </c>
      <c r="C1" s="7" t="s">
        <v>338</v>
      </c>
      <c r="D1" s="7" t="s">
        <v>339</v>
      </c>
      <c r="E1" s="7" t="s">
        <v>340</v>
      </c>
      <c r="F1" s="7" t="s">
        <v>341</v>
      </c>
    </row>
    <row r="2" customFormat="false" ht="15" hidden="false" customHeight="false" outlineLevel="0" collapsed="false">
      <c r="A2" s="12" t="s">
        <v>342</v>
      </c>
      <c r="B2" s="12" t="s">
        <v>22</v>
      </c>
      <c r="C2" s="12" t="s">
        <v>343</v>
      </c>
      <c r="D2" s="12"/>
      <c r="E2" s="12"/>
      <c r="F2" s="12"/>
    </row>
    <row r="3" customFormat="false" ht="15" hidden="false" customHeight="false" outlineLevel="0" collapsed="false">
      <c r="A3" s="8" t="s">
        <v>342</v>
      </c>
      <c r="B3" s="8" t="s">
        <v>22</v>
      </c>
      <c r="C3" s="8" t="s">
        <v>344</v>
      </c>
      <c r="D3" s="8"/>
      <c r="E3" s="8"/>
      <c r="F3" s="8"/>
    </row>
    <row r="4" customFormat="false" ht="15" hidden="false" customHeight="false" outlineLevel="0" collapsed="false">
      <c r="A4" s="12" t="s">
        <v>342</v>
      </c>
      <c r="B4" s="12" t="s">
        <v>22</v>
      </c>
      <c r="C4" s="12" t="s">
        <v>345</v>
      </c>
      <c r="D4" s="12"/>
      <c r="E4" s="12"/>
      <c r="F4" s="12"/>
    </row>
    <row r="5" customFormat="false" ht="15" hidden="false" customHeight="false" outlineLevel="0" collapsed="false">
      <c r="A5" s="8" t="s">
        <v>342</v>
      </c>
      <c r="B5" s="8" t="s">
        <v>22</v>
      </c>
      <c r="C5" s="8" t="s">
        <v>346</v>
      </c>
      <c r="D5" s="8"/>
      <c r="E5" s="8"/>
      <c r="F5" s="8"/>
    </row>
    <row r="6" customFormat="false" ht="15" hidden="false" customHeight="false" outlineLevel="0" collapsed="false">
      <c r="A6" s="12" t="s">
        <v>342</v>
      </c>
      <c r="B6" s="12" t="s">
        <v>22</v>
      </c>
      <c r="C6" s="12" t="s">
        <v>347</v>
      </c>
      <c r="D6" s="12"/>
      <c r="E6" s="12"/>
      <c r="F6" s="12"/>
    </row>
    <row r="7" customFormat="false" ht="15" hidden="false" customHeight="false" outlineLevel="0" collapsed="false">
      <c r="A7" s="8" t="s">
        <v>342</v>
      </c>
      <c r="B7" s="8" t="s">
        <v>22</v>
      </c>
      <c r="C7" s="8" t="s">
        <v>348</v>
      </c>
      <c r="D7" s="8"/>
      <c r="E7" s="8"/>
      <c r="F7" s="8"/>
    </row>
    <row r="8" customFormat="false" ht="15" hidden="false" customHeight="false" outlineLevel="0" collapsed="false">
      <c r="A8" s="12" t="s">
        <v>342</v>
      </c>
      <c r="B8" s="12" t="s">
        <v>22</v>
      </c>
      <c r="C8" s="12" t="s">
        <v>349</v>
      </c>
      <c r="D8" s="12"/>
      <c r="E8" s="12"/>
      <c r="F8" s="12"/>
    </row>
    <row r="9" customFormat="false" ht="15" hidden="false" customHeight="false" outlineLevel="0" collapsed="false">
      <c r="A9" s="8" t="s">
        <v>342</v>
      </c>
      <c r="B9" s="8" t="s">
        <v>22</v>
      </c>
      <c r="C9" s="8" t="s">
        <v>350</v>
      </c>
      <c r="D9" s="8"/>
      <c r="E9" s="8"/>
      <c r="F9" s="8"/>
    </row>
    <row r="10" customFormat="false" ht="15" hidden="false" customHeight="false" outlineLevel="0" collapsed="false">
      <c r="A10" s="12" t="s">
        <v>342</v>
      </c>
      <c r="B10" s="12" t="s">
        <v>22</v>
      </c>
      <c r="C10" s="12" t="s">
        <v>351</v>
      </c>
      <c r="D10" s="12"/>
      <c r="E10" s="12"/>
      <c r="F10" s="12"/>
    </row>
    <row r="11" customFormat="false" ht="15" hidden="false" customHeight="false" outlineLevel="0" collapsed="false">
      <c r="A11" s="8" t="s">
        <v>342</v>
      </c>
      <c r="B11" s="8" t="s">
        <v>22</v>
      </c>
      <c r="C11" s="8" t="s">
        <v>352</v>
      </c>
      <c r="D11" s="8"/>
      <c r="E11" s="8"/>
      <c r="F11" s="8"/>
    </row>
    <row r="12" customFormat="false" ht="15" hidden="false" customHeight="false" outlineLevel="0" collapsed="false">
      <c r="A12" s="12" t="s">
        <v>342</v>
      </c>
      <c r="B12" s="12" t="s">
        <v>22</v>
      </c>
      <c r="C12" s="12" t="s">
        <v>353</v>
      </c>
      <c r="D12" s="12"/>
      <c r="E12" s="12"/>
      <c r="F12" s="12" t="s">
        <v>354</v>
      </c>
    </row>
    <row r="13" customFormat="false" ht="15" hidden="false" customHeight="false" outlineLevel="0" collapsed="false">
      <c r="A13" s="8" t="s">
        <v>342</v>
      </c>
      <c r="B13" s="8" t="s">
        <v>22</v>
      </c>
      <c r="C13" s="8"/>
      <c r="D13" s="8"/>
      <c r="E13" s="8"/>
      <c r="F13" s="8"/>
    </row>
    <row r="14" customFormat="false" ht="15" hidden="false" customHeight="false" outlineLevel="0" collapsed="false">
      <c r="A14" s="12" t="s">
        <v>342</v>
      </c>
      <c r="B14" s="12" t="s">
        <v>22</v>
      </c>
      <c r="C14" s="12"/>
      <c r="D14" s="12"/>
      <c r="E14" s="12"/>
      <c r="F14" s="12"/>
    </row>
    <row r="15" customFormat="false" ht="46.25" hidden="false" customHeight="false" outlineLevel="0" collapsed="false">
      <c r="A15" s="8" t="s">
        <v>342</v>
      </c>
      <c r="B15" s="8" t="s">
        <v>19</v>
      </c>
      <c r="C15" s="8" t="s">
        <v>355</v>
      </c>
      <c r="D15" s="8" t="s">
        <v>356</v>
      </c>
      <c r="E15" s="8" t="s">
        <v>357</v>
      </c>
      <c r="F15" s="8" t="s">
        <v>358</v>
      </c>
    </row>
    <row r="16" customFormat="false" ht="23.85" hidden="false" customHeight="false" outlineLevel="0" collapsed="false">
      <c r="A16" s="12" t="s">
        <v>342</v>
      </c>
      <c r="B16" s="12" t="s">
        <v>19</v>
      </c>
      <c r="C16" s="12" t="s">
        <v>359</v>
      </c>
      <c r="D16" s="12"/>
      <c r="E16" s="12" t="s">
        <v>357</v>
      </c>
      <c r="F16" s="12" t="s">
        <v>360</v>
      </c>
    </row>
    <row r="17" customFormat="false" ht="15" hidden="false" customHeight="false" outlineLevel="0" collapsed="false">
      <c r="A17" s="8" t="s">
        <v>342</v>
      </c>
      <c r="B17" s="8" t="s">
        <v>19</v>
      </c>
      <c r="C17" s="8" t="s">
        <v>361</v>
      </c>
      <c r="D17" s="8" t="s">
        <v>362</v>
      </c>
      <c r="E17" s="8"/>
      <c r="F17" s="8"/>
    </row>
    <row r="18" customFormat="false" ht="15" hidden="false" customHeight="false" outlineLevel="0" collapsed="false">
      <c r="A18" s="12" t="s">
        <v>342</v>
      </c>
      <c r="B18" s="12" t="s">
        <v>19</v>
      </c>
      <c r="C18" s="12" t="s">
        <v>363</v>
      </c>
      <c r="D18" s="12" t="s">
        <v>364</v>
      </c>
      <c r="E18" s="12"/>
      <c r="F18" s="12"/>
    </row>
    <row r="19" customFormat="false" ht="15" hidden="false" customHeight="false" outlineLevel="0" collapsed="false">
      <c r="A19" s="8" t="s">
        <v>342</v>
      </c>
      <c r="B19" s="8" t="s">
        <v>19</v>
      </c>
      <c r="C19" s="8" t="s">
        <v>365</v>
      </c>
      <c r="D19" s="8" t="s">
        <v>366</v>
      </c>
      <c r="E19" s="8"/>
      <c r="F19" s="8"/>
    </row>
    <row r="20" customFormat="false" ht="15" hidden="false" customHeight="false" outlineLevel="0" collapsed="false">
      <c r="A20" s="12" t="s">
        <v>342</v>
      </c>
      <c r="B20" s="12" t="s">
        <v>19</v>
      </c>
      <c r="C20" s="12" t="s">
        <v>367</v>
      </c>
      <c r="D20" s="12"/>
      <c r="E20" s="12"/>
      <c r="F20" s="12"/>
    </row>
    <row r="21" customFormat="false" ht="15" hidden="false" customHeight="false" outlineLevel="0" collapsed="false">
      <c r="A21" s="8" t="s">
        <v>342</v>
      </c>
      <c r="B21" s="8" t="s">
        <v>19</v>
      </c>
      <c r="C21" s="8" t="s">
        <v>368</v>
      </c>
      <c r="D21" s="8"/>
      <c r="E21" s="8"/>
      <c r="F21" s="8"/>
    </row>
    <row r="22" customFormat="false" ht="15" hidden="false" customHeight="false" outlineLevel="0" collapsed="false">
      <c r="A22" s="12" t="s">
        <v>342</v>
      </c>
      <c r="B22" s="12" t="s">
        <v>19</v>
      </c>
      <c r="C22" s="12" t="s">
        <v>369</v>
      </c>
      <c r="D22" s="12" t="s">
        <v>370</v>
      </c>
      <c r="E22" s="12"/>
      <c r="F22" s="12"/>
    </row>
    <row r="23" customFormat="false" ht="15" hidden="false" customHeight="false" outlineLevel="0" collapsed="false">
      <c r="A23" s="8" t="s">
        <v>342</v>
      </c>
      <c r="B23" s="8" t="s">
        <v>19</v>
      </c>
      <c r="C23" s="8" t="s">
        <v>371</v>
      </c>
      <c r="D23" s="8" t="s">
        <v>372</v>
      </c>
      <c r="E23" s="8"/>
      <c r="F23" s="8"/>
    </row>
    <row r="24" customFormat="false" ht="15" hidden="false" customHeight="false" outlineLevel="0" collapsed="false">
      <c r="A24" s="12" t="s">
        <v>342</v>
      </c>
      <c r="B24" s="12" t="s">
        <v>19</v>
      </c>
      <c r="C24" s="12" t="s">
        <v>373</v>
      </c>
      <c r="D24" s="12" t="s">
        <v>373</v>
      </c>
      <c r="E24" s="12"/>
      <c r="F24" s="12"/>
    </row>
    <row r="25" customFormat="false" ht="15" hidden="false" customHeight="false" outlineLevel="0" collapsed="false">
      <c r="A25" s="8" t="s">
        <v>342</v>
      </c>
      <c r="B25" s="8" t="s">
        <v>19</v>
      </c>
      <c r="C25" s="8" t="s">
        <v>374</v>
      </c>
      <c r="D25" s="8" t="s">
        <v>375</v>
      </c>
      <c r="E25" s="8"/>
      <c r="F25" s="8"/>
    </row>
    <row r="26" customFormat="false" ht="15" hidden="false" customHeight="false" outlineLevel="0" collapsed="false">
      <c r="A26" s="12" t="s">
        <v>342</v>
      </c>
      <c r="B26" s="12" t="s">
        <v>19</v>
      </c>
      <c r="C26" s="12" t="s">
        <v>376</v>
      </c>
      <c r="D26" s="12" t="s">
        <v>377</v>
      </c>
      <c r="E26" s="12"/>
      <c r="F26" s="12"/>
    </row>
    <row r="27" customFormat="false" ht="15" hidden="false" customHeight="false" outlineLevel="0" collapsed="false">
      <c r="A27" s="8" t="s">
        <v>342</v>
      </c>
      <c r="B27" s="8" t="s">
        <v>19</v>
      </c>
      <c r="C27" s="8" t="s">
        <v>378</v>
      </c>
      <c r="D27" s="8"/>
      <c r="E27" s="8"/>
      <c r="F27" s="8"/>
    </row>
    <row r="28" customFormat="false" ht="15" hidden="false" customHeight="false" outlineLevel="0" collapsed="false">
      <c r="A28" s="12" t="s">
        <v>342</v>
      </c>
      <c r="B28" s="12" t="s">
        <v>19</v>
      </c>
      <c r="C28" s="12" t="s">
        <v>379</v>
      </c>
      <c r="D28" s="12" t="s">
        <v>380</v>
      </c>
      <c r="E28" s="12"/>
      <c r="F28" s="12"/>
    </row>
    <row r="29" customFormat="false" ht="15" hidden="false" customHeight="false" outlineLevel="0" collapsed="false">
      <c r="A29" s="8" t="s">
        <v>381</v>
      </c>
      <c r="B29" s="8" t="s">
        <v>21</v>
      </c>
      <c r="C29" s="8" t="s">
        <v>382</v>
      </c>
      <c r="D29" s="8" t="s">
        <v>383</v>
      </c>
      <c r="E29" s="8"/>
      <c r="F29" s="8" t="s">
        <v>384</v>
      </c>
    </row>
    <row r="30" customFormat="false" ht="23.85" hidden="false" customHeight="false" outlineLevel="0" collapsed="false">
      <c r="A30" s="12" t="s">
        <v>381</v>
      </c>
      <c r="B30" s="12" t="s">
        <v>21</v>
      </c>
      <c r="C30" s="12" t="s">
        <v>385</v>
      </c>
      <c r="D30" s="12" t="s">
        <v>386</v>
      </c>
      <c r="E30" s="12"/>
      <c r="F30" s="12"/>
    </row>
    <row r="31" customFormat="false" ht="15" hidden="false" customHeight="false" outlineLevel="0" collapsed="false">
      <c r="A31" s="8" t="s">
        <v>381</v>
      </c>
      <c r="B31" s="8" t="s">
        <v>21</v>
      </c>
      <c r="C31" s="8" t="s">
        <v>387</v>
      </c>
      <c r="D31" s="8" t="s">
        <v>388</v>
      </c>
      <c r="E31" s="8"/>
      <c r="F31" s="8" t="s">
        <v>389</v>
      </c>
    </row>
    <row r="32" customFormat="false" ht="35.05" hidden="false" customHeight="false" outlineLevel="0" collapsed="false">
      <c r="A32" s="12" t="s">
        <v>381</v>
      </c>
      <c r="B32" s="12" t="s">
        <v>21</v>
      </c>
      <c r="C32" s="12" t="s">
        <v>390</v>
      </c>
      <c r="D32" s="12" t="s">
        <v>391</v>
      </c>
      <c r="E32" s="12"/>
      <c r="F32" s="12" t="s">
        <v>392</v>
      </c>
    </row>
    <row r="33" customFormat="false" ht="23.85" hidden="false" customHeight="false" outlineLevel="0" collapsed="false">
      <c r="A33" s="8" t="s">
        <v>381</v>
      </c>
      <c r="B33" s="8" t="s">
        <v>21</v>
      </c>
      <c r="C33" s="8" t="s">
        <v>393</v>
      </c>
      <c r="D33" s="8" t="s">
        <v>394</v>
      </c>
      <c r="E33" s="8"/>
      <c r="F33" s="8" t="s">
        <v>395</v>
      </c>
    </row>
    <row r="34" customFormat="false" ht="15" hidden="false" customHeight="false" outlineLevel="0" collapsed="false">
      <c r="A34" s="12" t="s">
        <v>381</v>
      </c>
      <c r="B34" s="12" t="s">
        <v>21</v>
      </c>
      <c r="C34" s="12" t="s">
        <v>396</v>
      </c>
      <c r="D34" s="12"/>
      <c r="E34" s="12"/>
      <c r="F34" s="12"/>
    </row>
    <row r="35" customFormat="false" ht="15" hidden="false" customHeight="false" outlineLevel="0" collapsed="false">
      <c r="A35" s="8" t="s">
        <v>381</v>
      </c>
      <c r="B35" s="8" t="s">
        <v>21</v>
      </c>
      <c r="C35" s="8" t="s">
        <v>397</v>
      </c>
      <c r="D35" s="8"/>
      <c r="E35" s="8"/>
      <c r="F35" s="8"/>
    </row>
    <row r="36" customFormat="false" ht="15" hidden="false" customHeight="false" outlineLevel="0" collapsed="false">
      <c r="A36" s="12" t="s">
        <v>381</v>
      </c>
      <c r="B36" s="12" t="s">
        <v>21</v>
      </c>
      <c r="C36" s="12" t="s">
        <v>398</v>
      </c>
      <c r="D36" s="12"/>
      <c r="E36" s="12"/>
      <c r="F36" s="12"/>
    </row>
    <row r="37" customFormat="false" ht="15" hidden="false" customHeight="false" outlineLevel="0" collapsed="false">
      <c r="A37" s="8" t="s">
        <v>381</v>
      </c>
      <c r="B37" s="8" t="s">
        <v>21</v>
      </c>
      <c r="C37" s="8" t="s">
        <v>399</v>
      </c>
      <c r="D37" s="8"/>
      <c r="E37" s="8"/>
      <c r="F37" s="8"/>
    </row>
    <row r="38" customFormat="false" ht="15" hidden="false" customHeight="false" outlineLevel="0" collapsed="false">
      <c r="A38" s="12" t="s">
        <v>381</v>
      </c>
      <c r="B38" s="12" t="s">
        <v>20</v>
      </c>
      <c r="C38" s="12"/>
      <c r="D38" s="12"/>
      <c r="E38" s="12"/>
      <c r="F38" s="12"/>
    </row>
    <row r="39" customFormat="false" ht="15" hidden="false" customHeight="false" outlineLevel="0" collapsed="false">
      <c r="A39" s="8" t="s">
        <v>381</v>
      </c>
      <c r="B39" s="8" t="s">
        <v>20</v>
      </c>
      <c r="C39" s="8"/>
      <c r="D39" s="8"/>
      <c r="E39" s="8"/>
      <c r="F39" s="8"/>
    </row>
    <row r="40" customFormat="false" ht="15" hidden="false" customHeight="false" outlineLevel="0" collapsed="false">
      <c r="A40" s="12" t="s">
        <v>381</v>
      </c>
      <c r="B40" s="12" t="s">
        <v>20</v>
      </c>
      <c r="C40" s="12"/>
      <c r="D40" s="12"/>
      <c r="E40" s="12"/>
      <c r="F40" s="12"/>
    </row>
    <row r="41" customFormat="false" ht="15" hidden="false" customHeight="false" outlineLevel="0" collapsed="false">
      <c r="A41" s="8" t="s">
        <v>381</v>
      </c>
      <c r="B41" s="8" t="s">
        <v>20</v>
      </c>
      <c r="C41" s="8"/>
      <c r="D41" s="8"/>
      <c r="E41" s="8"/>
      <c r="F41" s="8"/>
    </row>
  </sheetData>
  <autoFilter ref="A1:F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1" t="s">
        <v>400</v>
      </c>
    </row>
    <row r="4" customFormat="false" ht="27.75" hidden="false" customHeight="true" outlineLevel="0" collapsed="false">
      <c r="A4" s="7"/>
      <c r="B4" s="7" t="s">
        <v>24</v>
      </c>
      <c r="C4" s="7" t="s">
        <v>401</v>
      </c>
      <c r="D4" s="7" t="s">
        <v>28</v>
      </c>
      <c r="E4" s="7" t="s">
        <v>402</v>
      </c>
    </row>
    <row r="5" customFormat="false" ht="31.5" hidden="false" customHeight="true" outlineLevel="0" collapsed="false">
      <c r="A5" s="8"/>
      <c r="B5" s="8" t="s">
        <v>37</v>
      </c>
      <c r="C5" s="9" t="n">
        <f aca="false">COUNT(Opportunities!D2:D108)</f>
        <v>75</v>
      </c>
      <c r="D5" s="11" t="n">
        <f aca="false">COUNT(Opportunities!D2:D108)/COUNTA(Opportunities!C2:C108)</f>
        <v>0.700934579439252</v>
      </c>
      <c r="E5" s="8" t="s">
        <v>403</v>
      </c>
    </row>
    <row r="6" customFormat="false" ht="31.5" hidden="false" customHeight="true" outlineLevel="0" collapsed="false">
      <c r="A6" s="12"/>
      <c r="B6" s="12" t="s">
        <v>38</v>
      </c>
      <c r="C6" s="13" t="n">
        <f aca="false">COUNTA(Opportunities!E2:E108)-COUNTBLANK(Opportunities!E2:E108)</f>
        <v>-7</v>
      </c>
      <c r="D6" s="15" t="n">
        <f aca="false">COUNTA(Opportunities!E2:E108)/COUNTA(Opportunities!C2:C108)</f>
        <v>0.467289719626168</v>
      </c>
      <c r="E6" s="12" t="s">
        <v>404</v>
      </c>
    </row>
    <row r="7" customFormat="false" ht="31.5" hidden="false" customHeight="true" outlineLevel="0" collapsed="false">
      <c r="A7" s="8"/>
      <c r="B7" s="8" t="s">
        <v>39</v>
      </c>
      <c r="C7" s="9" t="n">
        <f aca="false">COUNT(Opportunities!F2:F108)</f>
        <v>79</v>
      </c>
      <c r="D7" s="11" t="n">
        <f aca="false">COUNT(Opportunities!F2:F108)/COUNTA(Opportunities!C2:C108)</f>
        <v>0.738317757009346</v>
      </c>
      <c r="E7" s="8" t="s">
        <v>405</v>
      </c>
    </row>
    <row r="8" customFormat="false" ht="31.5" hidden="false" customHeight="true" outlineLevel="0" collapsed="false">
      <c r="A8" s="12"/>
      <c r="B8" s="12" t="s">
        <v>29</v>
      </c>
      <c r="C8" s="13" t="n">
        <f aca="false">COUNTIF(Opportunities!H2:H108,"Yes")+COUNTIF(Opportunities!H2:H108,"No")</f>
        <v>88</v>
      </c>
      <c r="D8" s="15" t="n">
        <f aca="false">(COUNTIF(Opportunities!H2:H108,"Yes")+COUNTIF(Opportunities!H2:H108,"No"))/COUNTA(Opportunities!C2:C108)</f>
        <v>0.822429906542056</v>
      </c>
      <c r="E8" s="12" t="s">
        <v>406</v>
      </c>
    </row>
    <row r="9" customFormat="false" ht="31.5" hidden="false" customHeight="true" outlineLevel="0" collapsed="false">
      <c r="A9" s="8"/>
      <c r="B9" s="8" t="s">
        <v>30</v>
      </c>
      <c r="C9" s="9" t="n">
        <f aca="false">COUNTIF(Opportunities!I2:I108,"Yes")+COUNTIF(Opportunities!I2:I108,"No")</f>
        <v>83</v>
      </c>
      <c r="D9" s="11" t="n">
        <f aca="false">(COUNTIF(Opportunities!I2:I108,"Yes")+COUNTIF(Opportunities!I2:I108,"No"))/COUNTA(Opportunities!C2:C108)</f>
        <v>0.775700934579439</v>
      </c>
      <c r="E9" s="8" t="s">
        <v>407</v>
      </c>
    </row>
    <row r="10" customFormat="false" ht="31.5" hidden="false" customHeight="true" outlineLevel="0" collapsed="false">
      <c r="A10" s="12"/>
      <c r="B10" s="12" t="s">
        <v>31</v>
      </c>
      <c r="C10" s="13" t="n">
        <f aca="false">COUNTIF(Opportunities!J2:J108,"Yes")+COUNTIF(Opportunities!J2:J108,"No")</f>
        <v>71</v>
      </c>
      <c r="D10" s="15" t="n">
        <f aca="false">(COUNTIF(Opportunities!J2:J108,"Yes")+COUNTIF(Opportunities!J2:J108,"No"))/COUNTA(Opportunities!C2:C108)</f>
        <v>0.663551401869159</v>
      </c>
      <c r="E10" s="12" t="s">
        <v>408</v>
      </c>
    </row>
    <row r="11" customFormat="false" ht="31.5" hidden="false" customHeight="true" outlineLevel="0" collapsed="false">
      <c r="A11" s="8"/>
      <c r="B11" s="8" t="s">
        <v>409</v>
      </c>
      <c r="C11" s="9" t="n">
        <f aca="false">COUNTIF(Opportunities!K2:K108,"Yes")+COUNTIF(Opportunities!K2:K108,"No")</f>
        <v>75</v>
      </c>
      <c r="D11" s="11" t="n">
        <f aca="false">(COUNTIF(Opportunities!K2:K108,"Yes")+COUNTIF(Opportunities!K2:K108,"No"))/COUNTA(Opportunities!C2:C108)</f>
        <v>0.700934579439252</v>
      </c>
      <c r="E11" s="8" t="s">
        <v>410</v>
      </c>
    </row>
    <row r="12" customFormat="false" ht="31.5" hidden="false" customHeight="true" outlineLevel="0" collapsed="false">
      <c r="A12" s="12"/>
      <c r="B12" s="12" t="s">
        <v>33</v>
      </c>
      <c r="C12" s="13" t="n">
        <f aca="false">COUNTIF(Opportunities!L2:L108,"Yes")+COUNTIF(Opportunities!L2:L108,"No")</f>
        <v>68</v>
      </c>
      <c r="D12" s="15" t="n">
        <f aca="false">(COUNTIF(Opportunities!L2:L108,"Yes")+COUNTIF(Opportunities!L2:L108,"No"))/COUNTA(Opportunities!C2:C108)</f>
        <v>0.635514018691589</v>
      </c>
      <c r="E12" s="12" t="s">
        <v>411</v>
      </c>
    </row>
    <row r="13" customFormat="false" ht="31.5" hidden="false" customHeight="true" outlineLevel="0" collapsed="false">
      <c r="A13" s="8"/>
      <c r="B13" s="8" t="s">
        <v>42</v>
      </c>
      <c r="C13" s="9" t="n">
        <f aca="false">COUNTA(Opportunities!N2:N108)-COUNTBLANK(Opportunities!N2:N108)</f>
        <v>83</v>
      </c>
      <c r="D13" s="11" t="n">
        <f aca="false">COUNTA(Opportunities!N2:N108)/COUNTA(Opportunities!C2:C108)</f>
        <v>0.88785046728972</v>
      </c>
      <c r="E13" s="8" t="s">
        <v>412</v>
      </c>
    </row>
    <row r="16" customFormat="false" ht="15" hidden="false" customHeight="false" outlineLevel="0" collapsed="false">
      <c r="B16" s="6" t="s">
        <v>413</v>
      </c>
    </row>
    <row r="17" customFormat="false" ht="15" hidden="false" customHeight="true" outlineLevel="0" collapsed="false">
      <c r="B17" s="32" t="s">
        <v>414</v>
      </c>
      <c r="C17" s="32"/>
      <c r="D17" s="32"/>
      <c r="E17" s="32"/>
    </row>
    <row r="18" customFormat="false" ht="15" hidden="false" customHeight="true" outlineLevel="0" collapsed="false">
      <c r="B18" s="32" t="s">
        <v>415</v>
      </c>
      <c r="C18" s="32"/>
      <c r="D18" s="32"/>
      <c r="E18" s="32"/>
    </row>
    <row r="19" customFormat="false" ht="15" hidden="false" customHeight="true" outlineLevel="0" collapsed="false">
      <c r="B19" s="32" t="s">
        <v>416</v>
      </c>
      <c r="C19" s="32"/>
      <c r="D19" s="32"/>
      <c r="E19" s="32"/>
    </row>
    <row r="20" customFormat="false" ht="15" hidden="false" customHeight="true" outlineLevel="0" collapsed="false">
      <c r="B20" s="32" t="s">
        <v>417</v>
      </c>
      <c r="C20" s="32"/>
      <c r="D20" s="32"/>
      <c r="E20" s="32"/>
    </row>
    <row r="21" customFormat="false" ht="15" hidden="false" customHeight="true" outlineLevel="0" collapsed="false">
      <c r="B21" s="32" t="s">
        <v>418</v>
      </c>
      <c r="C21" s="32"/>
      <c r="D21" s="32"/>
      <c r="E21" s="32"/>
    </row>
    <row r="22" customFormat="false" ht="15" hidden="false" customHeight="true" outlineLevel="0" collapsed="false">
      <c r="B22" s="32" t="s">
        <v>419</v>
      </c>
      <c r="C22" s="32"/>
      <c r="D22" s="32"/>
      <c r="E22" s="32"/>
    </row>
    <row r="23" customFormat="false" ht="15" hidden="false" customHeight="true" outlineLevel="0" collapsed="false">
      <c r="B23" s="32" t="s">
        <v>420</v>
      </c>
      <c r="C23" s="32"/>
      <c r="D23" s="32"/>
      <c r="E23" s="32"/>
    </row>
    <row r="24" customFormat="false" ht="15" hidden="false" customHeight="true" outlineLevel="0" collapsed="false">
      <c r="B24" s="32" t="s">
        <v>421</v>
      </c>
      <c r="C24" s="32"/>
      <c r="D24" s="32"/>
      <c r="E24" s="32"/>
    </row>
    <row r="25" customFormat="false" ht="15" hidden="false" customHeight="true" outlineLevel="0" collapsed="false">
      <c r="B25" s="32" t="s">
        <v>422</v>
      </c>
      <c r="C25" s="32"/>
      <c r="D25" s="32"/>
      <c r="E25" s="32"/>
    </row>
    <row r="26" customFormat="false" ht="15" hidden="false" customHeight="true" outlineLevel="0" collapsed="false">
      <c r="B26" s="32" t="s">
        <v>423</v>
      </c>
      <c r="C26" s="32"/>
      <c r="D26" s="32"/>
      <c r="E26" s="32"/>
    </row>
  </sheetData>
  <mergeCells count="10"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</mergeCells>
  <conditionalFormatting sqref="D5:D13">
    <cfRule type="cellIs" priority="2" operator="lessThan" aboveAverage="0" equalAverage="0" bottom="0" percent="0" rank="0" text="" dxfId="0">
      <formula>0.6</formula>
    </cfRule>
    <cfRule type="cellIs" priority="3" operator="greaterThanOrEqual" aboveAverage="0" equalAverage="0" bottom="0" percent="0" rank="0" text="" dxfId="1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60"/>
  </cols>
  <sheetData>
    <row r="2" customFormat="false" ht="17.35" hidden="false" customHeight="false" outlineLevel="0" collapsed="false">
      <c r="B2" s="1" t="s">
        <v>424</v>
      </c>
    </row>
    <row r="3" customFormat="false" ht="15" hidden="false" customHeight="false" outlineLevel="0" collapsed="false">
      <c r="B3" s="2" t="s">
        <v>425</v>
      </c>
    </row>
    <row r="5" customFormat="false" ht="27.75" hidden="false" customHeight="true" outlineLevel="0" collapsed="false">
      <c r="A5" s="7"/>
      <c r="B5" s="7" t="s">
        <v>24</v>
      </c>
      <c r="C5" s="7" t="s">
        <v>426</v>
      </c>
      <c r="D5" s="7" t="s">
        <v>427</v>
      </c>
      <c r="E5" s="7" t="s">
        <v>428</v>
      </c>
    </row>
    <row r="6" customFormat="false" ht="15" hidden="false" customHeight="false" outlineLevel="0" collapsed="false">
      <c r="B6" s="8" t="s">
        <v>429</v>
      </c>
      <c r="C6" s="8" t="s">
        <v>430</v>
      </c>
      <c r="D6" s="33" t="s">
        <v>26</v>
      </c>
      <c r="E6" s="8" t="s">
        <v>431</v>
      </c>
    </row>
    <row r="7" customFormat="false" ht="15" hidden="false" customHeight="false" outlineLevel="0" collapsed="false">
      <c r="B7" s="8" t="s">
        <v>36</v>
      </c>
      <c r="C7" s="8" t="s">
        <v>430</v>
      </c>
      <c r="D7" s="33" t="s">
        <v>26</v>
      </c>
      <c r="E7" s="8" t="s">
        <v>432</v>
      </c>
    </row>
    <row r="8" customFormat="false" ht="15" hidden="false" customHeight="false" outlineLevel="0" collapsed="false">
      <c r="B8" s="8" t="s">
        <v>433</v>
      </c>
      <c r="C8" s="8" t="s">
        <v>434</v>
      </c>
      <c r="D8" s="33" t="s">
        <v>26</v>
      </c>
      <c r="E8" s="8" t="s">
        <v>435</v>
      </c>
    </row>
    <row r="9" customFormat="false" ht="15" hidden="false" customHeight="false" outlineLevel="0" collapsed="false">
      <c r="B9" s="8" t="s">
        <v>436</v>
      </c>
      <c r="C9" s="8" t="s">
        <v>434</v>
      </c>
      <c r="D9" s="33" t="s">
        <v>26</v>
      </c>
      <c r="E9" s="8" t="s">
        <v>437</v>
      </c>
    </row>
    <row r="10" customFormat="false" ht="23.85" hidden="false" customHeight="false" outlineLevel="0" collapsed="false">
      <c r="B10" s="8" t="s">
        <v>438</v>
      </c>
      <c r="C10" s="8" t="s">
        <v>434</v>
      </c>
      <c r="D10" s="33" t="s">
        <v>26</v>
      </c>
      <c r="E10" s="8" t="s">
        <v>439</v>
      </c>
    </row>
    <row r="11" customFormat="false" ht="15" hidden="false" customHeight="false" outlineLevel="0" collapsed="false">
      <c r="B11" s="8" t="s">
        <v>7</v>
      </c>
      <c r="C11" s="8" t="s">
        <v>434</v>
      </c>
      <c r="D11" s="33" t="s">
        <v>26</v>
      </c>
      <c r="E11" s="8" t="s">
        <v>440</v>
      </c>
    </row>
    <row r="12" customFormat="false" ht="15" hidden="false" customHeight="false" outlineLevel="0" collapsed="false">
      <c r="B12" s="8" t="s">
        <v>441</v>
      </c>
      <c r="C12" s="8" t="s">
        <v>340</v>
      </c>
      <c r="D12" s="33" t="s">
        <v>26</v>
      </c>
      <c r="E12" s="8" t="s">
        <v>442</v>
      </c>
    </row>
    <row r="13" customFormat="false" ht="15" hidden="false" customHeight="false" outlineLevel="0" collapsed="false">
      <c r="B13" s="8" t="s">
        <v>37</v>
      </c>
      <c r="C13" s="8" t="s">
        <v>443</v>
      </c>
      <c r="D13" s="34" t="s">
        <v>444</v>
      </c>
      <c r="E13" s="8" t="s">
        <v>445</v>
      </c>
    </row>
    <row r="14" customFormat="false" ht="15" hidden="false" customHeight="false" outlineLevel="0" collapsed="false">
      <c r="B14" s="8" t="s">
        <v>38</v>
      </c>
      <c r="C14" s="8" t="s">
        <v>340</v>
      </c>
      <c r="D14" s="34" t="s">
        <v>444</v>
      </c>
      <c r="E14" s="8" t="s">
        <v>446</v>
      </c>
    </row>
    <row r="15" customFormat="false" ht="15" hidden="false" customHeight="false" outlineLevel="0" collapsed="false">
      <c r="B15" s="8" t="s">
        <v>39</v>
      </c>
      <c r="C15" s="8" t="s">
        <v>434</v>
      </c>
      <c r="D15" s="33" t="s">
        <v>26</v>
      </c>
      <c r="E15" s="8" t="s">
        <v>447</v>
      </c>
    </row>
    <row r="16" customFormat="false" ht="15" hidden="false" customHeight="false" outlineLevel="0" collapsed="false">
      <c r="B16" s="8" t="s">
        <v>448</v>
      </c>
      <c r="C16" s="8" t="s">
        <v>430</v>
      </c>
      <c r="D16" s="33" t="s">
        <v>26</v>
      </c>
      <c r="E16" s="8" t="s">
        <v>449</v>
      </c>
    </row>
    <row r="17" customFormat="false" ht="15" hidden="false" customHeight="false" outlineLevel="0" collapsed="false">
      <c r="B17" s="8" t="s">
        <v>29</v>
      </c>
      <c r="C17" s="8" t="s">
        <v>450</v>
      </c>
      <c r="D17" s="33" t="s">
        <v>26</v>
      </c>
      <c r="E17" s="8" t="s">
        <v>451</v>
      </c>
    </row>
    <row r="18" customFormat="false" ht="15" hidden="false" customHeight="false" outlineLevel="0" collapsed="false">
      <c r="B18" s="8" t="s">
        <v>30</v>
      </c>
      <c r="C18" s="8" t="s">
        <v>450</v>
      </c>
      <c r="D18" s="33" t="s">
        <v>26</v>
      </c>
      <c r="E18" s="8"/>
    </row>
    <row r="19" customFormat="false" ht="15" hidden="false" customHeight="false" outlineLevel="0" collapsed="false">
      <c r="B19" s="8" t="s">
        <v>41</v>
      </c>
      <c r="C19" s="8" t="s">
        <v>430</v>
      </c>
      <c r="D19" s="34" t="s">
        <v>452</v>
      </c>
      <c r="E19" s="8" t="s">
        <v>453</v>
      </c>
    </row>
    <row r="20" customFormat="false" ht="15" hidden="false" customHeight="false" outlineLevel="0" collapsed="false">
      <c r="B20" s="8" t="s">
        <v>31</v>
      </c>
      <c r="C20" s="8" t="s">
        <v>450</v>
      </c>
      <c r="D20" s="33" t="s">
        <v>26</v>
      </c>
      <c r="E20" s="8"/>
    </row>
    <row r="21" customFormat="false" ht="15" hidden="false" customHeight="false" outlineLevel="0" collapsed="false">
      <c r="B21" s="8" t="s">
        <v>454</v>
      </c>
      <c r="C21" s="8" t="s">
        <v>430</v>
      </c>
      <c r="D21" s="34" t="s">
        <v>444</v>
      </c>
      <c r="E21" s="8" t="s">
        <v>455</v>
      </c>
    </row>
    <row r="22" customFormat="false" ht="15" hidden="false" customHeight="false" outlineLevel="0" collapsed="false">
      <c r="B22" s="8" t="s">
        <v>456</v>
      </c>
      <c r="C22" s="8" t="s">
        <v>430</v>
      </c>
      <c r="D22" s="34" t="s">
        <v>452</v>
      </c>
      <c r="E22" s="8" t="s">
        <v>457</v>
      </c>
    </row>
    <row r="23" customFormat="false" ht="15" hidden="false" customHeight="false" outlineLevel="0" collapsed="false">
      <c r="B23" s="8" t="s">
        <v>42</v>
      </c>
      <c r="C23" s="8" t="s">
        <v>430</v>
      </c>
      <c r="D23" s="33" t="s">
        <v>26</v>
      </c>
      <c r="E23" s="8" t="s">
        <v>458</v>
      </c>
    </row>
    <row r="24" customFormat="false" ht="15" hidden="false" customHeight="false" outlineLevel="0" collapsed="false">
      <c r="B24" s="8" t="s">
        <v>459</v>
      </c>
      <c r="C24" s="8" t="s">
        <v>434</v>
      </c>
      <c r="D24" s="33" t="s">
        <v>26</v>
      </c>
      <c r="E24" s="8" t="s">
        <v>460</v>
      </c>
    </row>
    <row r="25" customFormat="false" ht="15" hidden="false" customHeight="false" outlineLevel="0" collapsed="false">
      <c r="B25" s="8" t="s">
        <v>461</v>
      </c>
      <c r="C25" s="8" t="s">
        <v>340</v>
      </c>
      <c r="D25" s="33" t="s">
        <v>26</v>
      </c>
      <c r="E25" s="8" t="s">
        <v>462</v>
      </c>
    </row>
    <row r="26" customFormat="false" ht="15" hidden="false" customHeight="false" outlineLevel="0" collapsed="false">
      <c r="B26" s="8" t="s">
        <v>463</v>
      </c>
      <c r="C26" s="8" t="s">
        <v>340</v>
      </c>
      <c r="D26" s="34" t="s">
        <v>464</v>
      </c>
      <c r="E26" s="8" t="s">
        <v>465</v>
      </c>
    </row>
    <row r="27" customFormat="false" ht="15" hidden="false" customHeight="false" outlineLevel="0" collapsed="false">
      <c r="B27" s="8" t="s">
        <v>466</v>
      </c>
      <c r="C27" s="8" t="s">
        <v>467</v>
      </c>
      <c r="D27" s="34" t="s">
        <v>444</v>
      </c>
      <c r="E27" s="8" t="s">
        <v>468</v>
      </c>
    </row>
    <row r="28" customFormat="false" ht="15" hidden="false" customHeight="false" outlineLevel="0" collapsed="false">
      <c r="B28" s="8" t="s">
        <v>469</v>
      </c>
      <c r="C28" s="8" t="s">
        <v>470</v>
      </c>
      <c r="D28" s="34" t="s">
        <v>15</v>
      </c>
      <c r="E28" s="8" t="s">
        <v>471</v>
      </c>
    </row>
    <row r="29" customFormat="false" ht="23.85" hidden="false" customHeight="false" outlineLevel="0" collapsed="false">
      <c r="B29" s="8" t="s">
        <v>472</v>
      </c>
      <c r="C29" s="8" t="s">
        <v>434</v>
      </c>
      <c r="D29" s="34" t="s">
        <v>473</v>
      </c>
      <c r="E29" s="8" t="s">
        <v>474</v>
      </c>
    </row>
    <row r="30" customFormat="false" ht="15" hidden="false" customHeight="false" outlineLevel="0" collapsed="false">
      <c r="B30" s="8" t="s">
        <v>475</v>
      </c>
      <c r="C30" s="8" t="s">
        <v>340</v>
      </c>
      <c r="D30" s="34" t="s">
        <v>476</v>
      </c>
      <c r="E3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2026-04-16T11:43:49Z</dcterms:created>
  <dc:creator>openpyxl</dc:creator>
  <dc:description/>
  <dc:language>en-US</dc:language>
  <cp:lastModifiedBy/>
  <dcterms:modified xsi:type="dcterms:W3CDTF">2026-04-16T11:43:49Z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