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Üst Yönetim Raporu" sheetId="1" r:id="rId5"/>
    <sheet state="visible" name="Satış Departman Verisi" sheetId="2" r:id="rId6"/>
    <sheet state="hidden" name="Revenue Charts" sheetId="3" r:id="rId7"/>
    <sheet state="hidden" name="Total Sales  Revenue Chart" sheetId="4" r:id="rId8"/>
    <sheet state="hidden" name="Per Person" sheetId="5" r:id="rId9"/>
    <sheet state="hidden" name="Satış Departmanı Verisi" sheetId="6" r:id="rId10"/>
    <sheet state="hidden" name="Sheet26" sheetId="7" r:id="rId11"/>
    <sheet state="hidden" name="Chart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tc={8d857190-0a8f-4c3b-b0f8-b2371606d402}</author>
    <author>tc={a44d359c-cf1b-45db-a860-cb097f44c396}</author>
  </authors>
  <commentList>
    <comment authorId="0" xr:uid="{8d857190-0a8f-4c3b-b0f8-b2371606d402}" ref="P2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Missing
</t>
      </text>
    </comment>
    <comment authorId="1" xr:uid="{a44d359c-cf1b-45db-a860-cb097f44c396}" ref="Y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@bener@mozaikdesign.com Ocak ayının Outlet satışlarını Retail/Bener olarak mı girdik yoksa girmedik mı? Buna göre Simge hanım girişlerini yapacak. Kısacası Ocak ayınıda girebilir. Bilgilendirmene göre hareket edeceğiz...
Assigned to bener@mozaikdesign.com
</t>
      </text>
    </comment>
  </commentList>
</comments>
</file>

<file path=xl/sharedStrings.xml><?xml version="1.0" encoding="utf-8"?>
<sst xmlns="http://schemas.openxmlformats.org/spreadsheetml/2006/main" count="594" uniqueCount="98">
  <si>
    <t>LUXURY FURNITURE SALES METRICS - EXECUTIVE DASHBOARD</t>
  </si>
  <si>
    <t>COMPANY-WIDE METRICS</t>
  </si>
  <si>
    <t>Current Month</t>
  </si>
  <si>
    <t>Prior Month</t>
  </si>
  <si>
    <t>YoY %</t>
  </si>
  <si>
    <t>YTD Actual</t>
  </si>
  <si>
    <t>YTD Target</t>
  </si>
  <si>
    <t>Variance %</t>
  </si>
  <si>
    <t>Total Revenue ($)</t>
  </si>
  <si>
    <t>Gross Margin (%)</t>
  </si>
  <si>
    <t>EBITDA ($)</t>
  </si>
  <si>
    <t>Customer Count</t>
  </si>
  <si>
    <t>Average Order Value ($)</t>
  </si>
  <si>
    <t>REVENUE BY DIVISION</t>
  </si>
  <si>
    <t>Mix %</t>
  </si>
  <si>
    <t>Retail Division</t>
  </si>
  <si>
    <t>Enterprise Division</t>
  </si>
  <si>
    <t>Lighting Division</t>
  </si>
  <si>
    <t>Marketing Division</t>
  </si>
  <si>
    <t>Total Revenue</t>
  </si>
  <si>
    <t>KEY OPERATIONAL METRICS</t>
  </si>
  <si>
    <t>Current</t>
  </si>
  <si>
    <t>Target</t>
  </si>
  <si>
    <t>Status</t>
  </si>
  <si>
    <t>Trend</t>
  </si>
  <si>
    <t>Inventory Turnover (x)</t>
  </si>
  <si>
    <t>On Track</t>
  </si>
  <si>
    <t>Days Sales Outstanding</t>
  </si>
  <si>
    <t>On-Time Delivery (%)</t>
  </si>
  <si>
    <t>Customer Satisfaction (NPS)</t>
  </si>
  <si>
    <t>Stock vs Custom Mix (%)</t>
  </si>
  <si>
    <t>Toplam Satış</t>
  </si>
  <si>
    <t>Finance Team Report</t>
  </si>
  <si>
    <t>Muhasebe Departmanı</t>
  </si>
  <si>
    <t>Finans Departman</t>
  </si>
  <si>
    <t>4-8M TRY</t>
  </si>
  <si>
    <t>Difference</t>
  </si>
  <si>
    <t>Departman Performansı</t>
  </si>
  <si>
    <t>Mağaza(Retail)</t>
  </si>
  <si>
    <t>Satış Departmanı Kişi Sayısı</t>
  </si>
  <si>
    <t>Toplam Satış_Miktarı</t>
  </si>
  <si>
    <t>Toplam Satış adeti</t>
  </si>
  <si>
    <t>Toplam Müşteri Sayısı</t>
  </si>
  <si>
    <t>Toplam Yeni Müşteri Sayısı</t>
  </si>
  <si>
    <t>Yeni Müşteri Oranı</t>
  </si>
  <si>
    <t>Ortalama Sepet Değeri</t>
  </si>
  <si>
    <t>Müşteri_Profil</t>
  </si>
  <si>
    <t>Eski Müşteri</t>
  </si>
  <si>
    <t>Yeni Müşteri</t>
  </si>
  <si>
    <t>Mağaza Walk In Müşterisi</t>
  </si>
  <si>
    <t>Kendi Bulduğumuz Müşteri</t>
  </si>
  <si>
    <t>Partner(Mimar)</t>
  </si>
  <si>
    <t>Kurumsal Satış(Kontrat)</t>
  </si>
  <si>
    <t>Aydınlatma</t>
  </si>
  <si>
    <t>Marketing</t>
  </si>
  <si>
    <t>Sales Per Rep</t>
  </si>
  <si>
    <t>Temsilci Performansı_Satış Miktari</t>
  </si>
  <si>
    <t>Banu</t>
  </si>
  <si>
    <t>İdil</t>
  </si>
  <si>
    <t>Sena</t>
  </si>
  <si>
    <t>Ceren</t>
  </si>
  <si>
    <t>Derin</t>
  </si>
  <si>
    <t>Bener</t>
  </si>
  <si>
    <t>Betül</t>
  </si>
  <si>
    <t>Aleyna</t>
  </si>
  <si>
    <t>Simge</t>
  </si>
  <si>
    <t>Kurumsal(Kontrat)</t>
  </si>
  <si>
    <t>Burçin</t>
  </si>
  <si>
    <t>Zeynep</t>
  </si>
  <si>
    <t>Elif</t>
  </si>
  <si>
    <t>İrem</t>
  </si>
  <si>
    <t>Biricik</t>
  </si>
  <si>
    <t>Artun</t>
  </si>
  <si>
    <t>Ecem</t>
  </si>
  <si>
    <t>Beliz</t>
  </si>
  <si>
    <t>Temsilci Performansı_Satış Adet</t>
  </si>
  <si>
    <t>Mağaza(Retail)_Satış Adet</t>
  </si>
  <si>
    <r>
      <rPr>
        <rFont val="Calibri, sans-serif"/>
        <color rgb="FF000000"/>
        <sz val="12.0"/>
      </rPr>
      <t>Temsilci Performansı_</t>
    </r>
    <r>
      <rPr>
        <rFont val="Calibri, sans-serif"/>
        <b/>
        <color rgb="FF000000"/>
        <sz val="12.0"/>
      </rPr>
      <t>Satış Miktarı</t>
    </r>
    <r>
      <rPr>
        <rFont val="Calibri, sans-serif"/>
        <color rgb="FF000000"/>
        <sz val="12.0"/>
      </rPr>
      <t>/Stok/Sipariş Krılımı</t>
    </r>
  </si>
  <si>
    <t>Mağaza(Retail)_Satış</t>
  </si>
  <si>
    <t>Stok</t>
  </si>
  <si>
    <t>Sipariş</t>
  </si>
  <si>
    <t>375.52,93</t>
  </si>
  <si>
    <r>
      <rPr>
        <rFont val="Calibri, sans-serif"/>
        <color rgb="FF000000"/>
        <sz val="12.0"/>
      </rPr>
      <t>Temsilci Performansı_</t>
    </r>
    <r>
      <rPr>
        <rFont val="Calibri, sans-serif"/>
        <b/>
        <color rgb="FF000000"/>
        <sz val="12.0"/>
      </rPr>
      <t>Satış Adet</t>
    </r>
    <r>
      <rPr>
        <rFont val="Calibri, sans-serif"/>
        <color rgb="FF000000"/>
        <sz val="12.0"/>
      </rPr>
      <t>/Stok/Sipariş Krılımı</t>
    </r>
  </si>
  <si>
    <t>Mağaza(Retail)_Satış Geliri</t>
  </si>
  <si>
    <r>
      <rPr>
        <rFont val="Calibri, sans-serif"/>
        <color rgb="FF000000"/>
        <sz val="12.0"/>
      </rPr>
      <t>Temsilci Performansı_</t>
    </r>
    <r>
      <rPr>
        <rFont val="Calibri, sans-serif"/>
        <b/>
        <color rgb="FF000000"/>
        <sz val="12.0"/>
      </rPr>
      <t>Yeni Müşteri/Eski Müşteri</t>
    </r>
  </si>
  <si>
    <t>Sales Funnel</t>
  </si>
  <si>
    <t>Retail</t>
  </si>
  <si>
    <t>Revenue</t>
  </si>
  <si>
    <t>Enterprise</t>
  </si>
  <si>
    <t>Lighting</t>
  </si>
  <si>
    <t xml:space="preserve"> </t>
  </si>
  <si>
    <t>Veri</t>
  </si>
  <si>
    <t>Total Sales</t>
  </si>
  <si>
    <t>Toplam Gelir</t>
  </si>
  <si>
    <r>
      <rPr>
        <rFont val="Calibri, sans-serif"/>
        <color rgb="FF000000"/>
        <sz val="12.0"/>
      </rPr>
      <t>Temsilci Performansı_</t>
    </r>
    <r>
      <rPr>
        <rFont val="Calibri, sans-serif"/>
        <b/>
        <color rgb="FF000000"/>
        <sz val="12.0"/>
      </rPr>
      <t>Satış Miktarı</t>
    </r>
    <r>
      <rPr>
        <rFont val="Calibri, sans-serif"/>
        <color rgb="FF000000"/>
        <sz val="12.0"/>
      </rPr>
      <t>/Stok/Sipariş Krılımı</t>
    </r>
  </si>
  <si>
    <r>
      <rPr>
        <rFont val="Calibri, sans-serif"/>
        <color rgb="FF000000"/>
        <sz val="12.0"/>
      </rPr>
      <t>Temsilci Performansı_</t>
    </r>
    <r>
      <rPr>
        <rFont val="Calibri, sans-serif"/>
        <b/>
        <color rgb="FF000000"/>
        <sz val="12.0"/>
      </rPr>
      <t>Satış Adet</t>
    </r>
    <r>
      <rPr>
        <rFont val="Calibri, sans-serif"/>
        <color rgb="FF000000"/>
        <sz val="12.0"/>
      </rPr>
      <t>/Stok/Sipariş Krılımı</t>
    </r>
  </si>
  <si>
    <r>
      <rPr>
        <rFont val="Calibri, sans-serif"/>
        <color rgb="FF000000"/>
        <sz val="12.0"/>
      </rPr>
      <t>Temsilci Performansı_</t>
    </r>
    <r>
      <rPr>
        <rFont val="Calibri, sans-serif"/>
        <b/>
        <color rgb="FF000000"/>
        <sz val="12.0"/>
      </rPr>
      <t>Yeni Müşteri/Eski Müşteri</t>
    </r>
  </si>
  <si>
    <t>SALES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</si>
</sst>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€]#,##0"/>
    <numFmt numFmtId="165" formatCode="[$€]#,##0.00"/>
    <numFmt numFmtId="166" formatCode="mm/dd/yyyy"/>
    <numFmt numFmtId="167" formatCode="[$₺]#,##0.00"/>
    <numFmt numFmtId="168" formatCode="0.0"/>
    <numFmt numFmtId="169" formatCode="[$€]#,##0.000"/>
    <numFmt numFmtId="170" formatCode="mmm-d"/>
    <numFmt numFmtId="171" formatCode="mmmm-d"/>
    <numFmt numFmtId="172" formatCode="#,##0&quot;€&quot;"/>
    <numFmt numFmtId="173" formatCode="#,##0.00&quot;€&quot;"/>
  </numFmts>
  <fonts count="17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color theme="1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Arial"/>
      <scheme val="minor"/>
    </font>
    <font>
      <sz val="13.0"/>
      <color rgb="FF000000"/>
      <name val="&quot;Calibri&quot;"/>
    </font>
    <font>
      <sz val="12.0"/>
      <color theme="1"/>
      <name val="Calibri"/>
    </font>
    <font>
      <b/>
      <sz val="12.0"/>
      <color theme="1"/>
      <name val="Calibri"/>
    </font>
    <font>
      <sz val="13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color theme="1"/>
      <name val="Arial"/>
      <scheme val="minor"/>
    </font>
    <font>
      <color rgb="FF0000FF"/>
      <name val="Arial"/>
      <scheme val="minor"/>
    </font>
    <font/>
  </fonts>
  <fills count="16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E8F6F3"/>
        <bgColor rgb="FFE8F6F3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3" fontId="2" numFmtId="164" xfId="0" applyAlignment="1" applyBorder="1" applyFill="1" applyFont="1" applyNumberFormat="1">
      <alignment shrinkToFit="0" vertical="bottom" wrapText="0"/>
    </xf>
    <xf borderId="1" fillId="0" fontId="2" numFmtId="10" xfId="0" applyAlignment="1" applyBorder="1" applyFont="1" applyNumberFormat="1">
      <alignment horizontal="center" readingOrder="0" shrinkToFit="0" vertical="bottom" wrapText="0"/>
    </xf>
    <xf borderId="1" fillId="3" fontId="2" numFmtId="165" xfId="0" applyAlignment="1" applyBorder="1" applyFont="1" applyNumberFormat="1">
      <alignment shrinkToFit="0" vertical="bottom" wrapText="0"/>
    </xf>
    <xf borderId="1" fillId="3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/>
    </xf>
    <xf borderId="1" fillId="3" fontId="2" numFmtId="164" xfId="0" applyAlignment="1" applyBorder="1" applyFont="1" applyNumberFormat="1">
      <alignment horizontal="right" readingOrder="0" shrinkToFit="0" vertical="bottom" wrapText="0"/>
    </xf>
    <xf borderId="1" fillId="3" fontId="2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6" xfId="0" applyAlignment="1" applyFont="1" applyNumberFormat="1">
      <alignment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2" fillId="0" fontId="6" numFmtId="165" xfId="0" applyAlignment="1" applyBorder="1" applyFont="1" applyNumberFormat="1">
      <alignment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3" fillId="0" fontId="6" numFmtId="165" xfId="0" applyAlignment="1" applyBorder="1" applyFont="1" applyNumberFormat="1">
      <alignment horizontal="right" readingOrder="0" shrinkToFit="0" vertical="bottom" wrapText="0"/>
    </xf>
    <xf borderId="4" fillId="4" fontId="4" numFmtId="165" xfId="0" applyBorder="1" applyFill="1" applyFont="1" applyNumberFormat="1"/>
    <xf borderId="4" fillId="4" fontId="4" numFmtId="0" xfId="0" applyBorder="1" applyFont="1"/>
    <xf borderId="0" fillId="0" fontId="4" numFmtId="9" xfId="0" applyAlignment="1" applyFont="1" applyNumberFormat="1">
      <alignment readingOrder="0"/>
    </xf>
    <xf borderId="0" fillId="0" fontId="2" numFmtId="167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/>
    </xf>
    <xf borderId="0" fillId="0" fontId="4" numFmtId="167" xfId="0" applyFont="1" applyNumberFormat="1"/>
    <xf borderId="5" fillId="0" fontId="5" numFmtId="0" xfId="0" applyAlignment="1" applyBorder="1" applyFont="1">
      <alignment readingOrder="0" shrinkToFit="0" vertical="bottom" wrapText="0"/>
    </xf>
    <xf borderId="4" fillId="5" fontId="6" numFmtId="0" xfId="0" applyAlignment="1" applyBorder="1" applyFill="1" applyFont="1">
      <alignment readingOrder="0" shrinkToFit="0" vertical="bottom" wrapText="0"/>
    </xf>
    <xf borderId="4" fillId="0" fontId="4" numFmtId="0" xfId="0" applyBorder="1" applyFont="1"/>
    <xf borderId="4" fillId="0" fontId="4" numFmtId="167" xfId="0" applyBorder="1" applyFont="1" applyNumberFormat="1"/>
    <xf borderId="4" fillId="0" fontId="7" numFmtId="168" xfId="0" applyBorder="1" applyFont="1" applyNumberFormat="1"/>
    <xf borderId="0" fillId="0" fontId="5" numFmtId="1" xfId="0" applyAlignment="1" applyFont="1" applyNumberForma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4" numFmtId="10" xfId="0" applyFont="1" applyNumberFormat="1"/>
    <xf borderId="0" fillId="0" fontId="5" numFmtId="9" xfId="0" applyAlignment="1" applyFont="1" applyNumberFormat="1">
      <alignment horizontal="right" readingOrder="0" shrinkToFit="0" vertical="bottom" wrapText="0"/>
    </xf>
    <xf borderId="0" fillId="0" fontId="7" numFmtId="1" xfId="0" applyFont="1" applyNumberFormat="1"/>
    <xf borderId="0" fillId="0" fontId="7" numFmtId="168" xfId="0" applyFont="1" applyNumberFormat="1"/>
    <xf borderId="0" fillId="6" fontId="6" numFmtId="0" xfId="0" applyAlignment="1" applyFill="1" applyFont="1">
      <alignment readingOrder="0" shrinkToFit="0" vertical="bottom" wrapText="0"/>
    </xf>
    <xf borderId="4" fillId="7" fontId="6" numFmtId="0" xfId="0" applyAlignment="1" applyBorder="1" applyFill="1" applyFont="1">
      <alignment readingOrder="0" shrinkToFit="0" vertical="bottom" wrapText="0"/>
    </xf>
    <xf borderId="4" fillId="0" fontId="5" numFmtId="1" xfId="0" applyAlignment="1" applyBorder="1" applyFont="1" applyNumberFormat="1">
      <alignment horizontal="right" readingOrder="0" shrinkToFit="0" vertical="bottom" wrapText="0"/>
    </xf>
    <xf borderId="4" fillId="0" fontId="7" numFmtId="1" xfId="0" applyBorder="1" applyFont="1" applyNumberFormat="1"/>
    <xf borderId="0" fillId="0" fontId="5" numFmtId="1" xfId="0" applyAlignment="1" applyFont="1" applyNumberFormat="1">
      <alignment shrinkToFit="0" vertical="bottom" wrapText="0"/>
    </xf>
    <xf borderId="0" fillId="0" fontId="5" numFmtId="169" xfId="0" applyAlignment="1" applyFont="1" applyNumberFormat="1">
      <alignment horizontal="right" readingOrder="0" shrinkToFit="0" vertical="bottom" wrapText="0"/>
    </xf>
    <xf borderId="0" fillId="6" fontId="5" numFmtId="0" xfId="0" applyAlignment="1" applyFont="1">
      <alignment readingOrder="0" shrinkToFit="0" vertical="bottom" wrapText="0"/>
    </xf>
    <xf borderId="4" fillId="8" fontId="5" numFmtId="0" xfId="0" applyAlignment="1" applyBorder="1" applyFill="1" applyFont="1">
      <alignment readingOrder="0" shrinkToFit="0" vertical="bottom" wrapText="0"/>
    </xf>
    <xf borderId="0" fillId="9" fontId="5" numFmtId="0" xfId="0" applyAlignment="1" applyFill="1" applyFont="1">
      <alignment readingOrder="0" shrinkToFit="0" vertical="bottom" wrapText="0"/>
    </xf>
    <xf borderId="0" fillId="0" fontId="5" numFmtId="168" xfId="0" applyAlignment="1" applyFont="1" applyNumberFormat="1">
      <alignment horizontal="right" readingOrder="0" shrinkToFit="0" vertical="bottom" wrapText="0"/>
    </xf>
    <xf borderId="0" fillId="0" fontId="4" numFmtId="168" xfId="0" applyFont="1" applyNumberFormat="1"/>
    <xf borderId="0" fillId="0" fontId="7" numFmtId="1" xfId="0" applyAlignment="1" applyFont="1" applyNumberFormat="1">
      <alignment readingOrder="0"/>
    </xf>
    <xf borderId="0" fillId="0" fontId="5" numFmtId="168" xfId="0" applyAlignment="1" applyFont="1" applyNumberFormat="1">
      <alignment shrinkToFit="0" vertical="bottom" wrapText="0"/>
    </xf>
    <xf borderId="5" fillId="5" fontId="5" numFmtId="0" xfId="0" applyAlignment="1" applyBorder="1" applyFont="1">
      <alignment readingOrder="0" shrinkToFit="0" vertical="bottom" wrapText="0"/>
    </xf>
    <xf borderId="0" fillId="0" fontId="4" numFmtId="164" xfId="0" applyFont="1" applyNumberFormat="1"/>
    <xf borderId="0" fillId="0" fontId="8" numFmtId="164" xfId="0" applyAlignment="1" applyFont="1" applyNumberFormat="1">
      <alignment readingOrder="0"/>
    </xf>
    <xf borderId="0" fillId="10" fontId="5" numFmtId="164" xfId="0" applyAlignment="1" applyFill="1" applyFont="1" applyNumberFormat="1">
      <alignment horizontal="right" readingOrder="0" shrinkToFit="0" vertical="bottom" wrapText="0"/>
    </xf>
    <xf borderId="0" fillId="11" fontId="5" numFmtId="164" xfId="0" applyAlignment="1" applyFill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49" xfId="0" applyAlignment="1" applyFont="1" applyNumberFormat="1">
      <alignment horizontal="right" readingOrder="0" shrinkToFit="0" vertical="bottom" wrapText="0"/>
    </xf>
    <xf borderId="0" fillId="0" fontId="9" numFmtId="169" xfId="0" applyAlignment="1" applyFont="1" applyNumberFormat="1">
      <alignment horizontal="right" readingOrder="0" shrinkToFit="0" vertical="bottom" wrapText="0"/>
    </xf>
    <xf borderId="0" fillId="0" fontId="7" numFmtId="168" xfId="0" applyAlignment="1" applyFont="1" applyNumberForma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7" numFmtId="164" xfId="0" applyFont="1" applyNumberFormat="1"/>
    <xf borderId="0" fillId="0" fontId="4" numFmtId="1" xfId="0" applyFont="1" applyNumberFormat="1"/>
    <xf borderId="0" fillId="0" fontId="5" numFmtId="1" xfId="0" applyAlignment="1" applyFont="1" applyNumberFormat="1">
      <alignment readingOrder="0" shrinkToFit="0" vertical="bottom" wrapText="0"/>
    </xf>
    <xf borderId="0" fillId="0" fontId="9" numFmtId="169" xfId="0" applyAlignment="1" applyFont="1" applyNumberFormat="1">
      <alignment readingOrder="0"/>
    </xf>
    <xf borderId="0" fillId="0" fontId="7" numFmtId="0" xfId="0" applyFont="1"/>
    <xf borderId="0" fillId="12" fontId="4" numFmtId="0" xfId="0" applyFill="1" applyFont="1"/>
    <xf borderId="0" fillId="11" fontId="4" numFmtId="0" xfId="0" applyAlignment="1" applyFont="1">
      <alignment readingOrder="0"/>
    </xf>
    <xf borderId="0" fillId="0" fontId="4" numFmtId="0" xfId="0" applyFont="1"/>
    <xf borderId="0" fillId="0" fontId="11" numFmtId="1" xfId="0" applyAlignment="1" applyFont="1" applyNumberFormat="1">
      <alignment horizontal="right" readingOrder="0" shrinkToFit="0" vertical="bottom" wrapText="0"/>
    </xf>
    <xf borderId="0" fillId="11" fontId="11" numFmtId="1" xfId="0" applyAlignment="1" applyFont="1" applyNumberFormat="1">
      <alignment horizontal="right" readingOrder="0" shrinkToFit="0" vertical="bottom" wrapText="0"/>
    </xf>
    <xf borderId="6" fillId="0" fontId="7" numFmtId="164" xfId="0" applyBorder="1" applyFont="1" applyNumberFormat="1"/>
    <xf borderId="6" fillId="0" fontId="7" numFmtId="168" xfId="0" applyBorder="1" applyFont="1" applyNumberFormat="1"/>
    <xf borderId="7" fillId="13" fontId="6" numFmtId="0" xfId="0" applyAlignment="1" applyBorder="1" applyFill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12" numFmtId="170" xfId="0" applyAlignment="1" applyFont="1" applyNumberFormat="1">
      <alignment horizontal="right" readingOrder="0" shrinkToFit="0" vertical="bottom" wrapText="0"/>
    </xf>
    <xf borderId="0" fillId="0" fontId="13" numFmtId="171" xfId="0" applyAlignment="1" applyFont="1" applyNumberFormat="1">
      <alignment horizontal="right" readingOrder="0" shrinkToFit="0" vertical="bottom" wrapText="0"/>
    </xf>
    <xf borderId="0" fillId="13" fontId="5" numFmtId="172" xfId="0" applyAlignment="1" applyFont="1" applyNumberFormat="1">
      <alignment horizontal="right" readingOrder="0" shrinkToFit="0" vertical="bottom" wrapText="0"/>
    </xf>
    <xf borderId="0" fillId="13" fontId="5" numFmtId="0" xfId="0" applyAlignment="1" applyFont="1">
      <alignment horizontal="right" readingOrder="0" shrinkToFit="0" vertical="bottom" wrapText="0"/>
    </xf>
    <xf borderId="0" fillId="13" fontId="5" numFmtId="173" xfId="0" applyAlignment="1" applyFont="1" applyNumberFormat="1">
      <alignment readingOrder="0" shrinkToFit="0" vertical="bottom" wrapText="0"/>
    </xf>
    <xf borderId="0" fillId="13" fontId="5" numFmtId="0" xfId="0" applyAlignment="1" applyFont="1">
      <alignment shrinkToFit="0" vertical="bottom" wrapText="0"/>
    </xf>
    <xf borderId="0" fillId="14" fontId="4" numFmtId="0" xfId="0" applyFill="1" applyFont="1"/>
    <xf borderId="0" fillId="14" fontId="14" numFmtId="0" xfId="0" applyAlignment="1" applyFont="1">
      <alignment readingOrder="0"/>
    </xf>
    <xf borderId="0" fillId="0" fontId="4" numFmtId="0" xfId="0" applyFont="1"/>
    <xf borderId="4" fillId="0" fontId="6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0" fillId="0" fontId="5" numFmtId="165" xfId="0" applyAlignment="1" applyFont="1" applyNumberFormat="1">
      <alignment horizontal="right" readingOrder="0" shrinkToFit="0" vertical="bottom" wrapText="0"/>
    </xf>
    <xf borderId="5" fillId="12" fontId="5" numFmtId="0" xfId="0" applyAlignment="1" applyBorder="1" applyFont="1">
      <alignment readingOrder="0" shrinkToFit="0" vertical="bottom" wrapText="0"/>
    </xf>
    <xf borderId="0" fillId="15" fontId="15" numFmtId="0" xfId="0" applyAlignment="1" applyFill="1" applyFont="1">
      <alignment horizontal="center" readingOrder="0"/>
    </xf>
    <xf borderId="8" fillId="0" fontId="4" numFmtId="0" xfId="0" applyAlignment="1" applyBorder="1" applyFont="1">
      <alignment readingOrder="0"/>
    </xf>
    <xf borderId="6" fillId="0" fontId="16" numFmtId="0" xfId="0" applyBorder="1" applyFont="1"/>
    <xf borderId="9" fillId="0" fontId="16" numFmtId="0" xfId="0" applyBorder="1" applyFont="1"/>
    <xf borderId="10" fillId="0" fontId="16" numFmtId="0" xfId="0" applyBorder="1" applyFont="1"/>
    <xf borderId="11" fillId="0" fontId="16" numFmtId="0" xfId="0" applyBorder="1" applyFont="1"/>
    <xf borderId="12" fillId="0" fontId="16" numFmtId="0" xfId="0" applyBorder="1" applyFont="1"/>
    <xf borderId="13" fillId="0" fontId="16" numFmtId="0" xfId="0" applyBorder="1" applyFont="1"/>
    <xf borderId="14" fillId="0" fontId="1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Retail Revenue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'Revenue Charts'!$A$3:$B$3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'Revenue Charts'!$C$2:$N$2</c:f>
            </c:strRef>
          </c:cat>
          <c:val>
            <c:numRef>
              <c:f>'Revenue Charts'!$C$3:$N$3</c:f>
              <c:numCache/>
            </c:numRef>
          </c:val>
          <c:smooth val="0"/>
        </c:ser>
        <c:axId val="227816648"/>
        <c:axId val="811532684"/>
      </c:lineChart>
      <c:catAx>
        <c:axId val="227816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Retail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532684"/>
      </c:catAx>
      <c:valAx>
        <c:axId val="811532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816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Enterprise Revenue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'Revenue Charts'!$A$8:$B$8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'Revenue Charts'!$C$7:$N$7</c:f>
            </c:strRef>
          </c:cat>
          <c:val>
            <c:numRef>
              <c:f>'Revenue Charts'!$C$8:$N$8</c:f>
              <c:numCache/>
            </c:numRef>
          </c:val>
          <c:smooth val="0"/>
        </c:ser>
        <c:axId val="1363919385"/>
        <c:axId val="1193782150"/>
      </c:lineChart>
      <c:catAx>
        <c:axId val="1363919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Enterprise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782150"/>
      </c:catAx>
      <c:valAx>
        <c:axId val="1193782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9193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Lighting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'Revenue Charts'!$B$13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'Revenue Charts'!$C$12:$N$12</c:f>
            </c:strRef>
          </c:cat>
          <c:val>
            <c:numRef>
              <c:f>'Revenue Charts'!$C$13:$N$13</c:f>
              <c:numCache/>
            </c:numRef>
          </c:val>
          <c:smooth val="0"/>
        </c:ser>
        <c:axId val="1484388254"/>
        <c:axId val="177712494"/>
      </c:lineChart>
      <c:catAx>
        <c:axId val="1484388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Lighting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12494"/>
      </c:catAx>
      <c:valAx>
        <c:axId val="177712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43882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vs. Marketing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'Revenue Charts'!$B$17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'Revenue Charts'!$C$16:$N$16</c:f>
            </c:strRef>
          </c:cat>
          <c:val>
            <c:numRef>
              <c:f>'Revenue Charts'!$C$17:$N$17</c:f>
              <c:numCache/>
            </c:numRef>
          </c:val>
          <c:smooth val="0"/>
        </c:ser>
        <c:axId val="433722832"/>
        <c:axId val="136682979"/>
      </c:lineChart>
      <c:catAx>
        <c:axId val="433722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82979"/>
      </c:catAx>
      <c:valAx>
        <c:axId val="136682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722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'Total Sales  Revenue Chart'!$A$28:$K$28</c:f>
            </c:strRef>
          </c:cat>
          <c:val>
            <c:numRef>
              <c:f>'Total Sales  Revenue Chart'!$A$29:$K$29</c:f>
              <c:numCache/>
            </c:numRef>
          </c:val>
          <c:smooth val="0"/>
        </c:ser>
        <c:axId val="485768724"/>
        <c:axId val="662197054"/>
      </c:lineChart>
      <c:catAx>
        <c:axId val="485768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197054"/>
      </c:catAx>
      <c:valAx>
        <c:axId val="662197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7687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Sheet26!$A$1:$K$1</c:f>
            </c:strRef>
          </c:cat>
          <c:val>
            <c:numRef>
              <c:f>Sheet26!$A$2:$K$2</c:f>
              <c:numCache/>
            </c:numRef>
          </c:val>
        </c:ser>
        <c:axId val="1326842921"/>
        <c:axId val="921478056"/>
      </c:areaChart>
      <c:catAx>
        <c:axId val="1326842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478056"/>
      </c:catAx>
      <c:valAx>
        <c:axId val="921478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8429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vs. Retail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'Revenue Charts'!$A$3:$B$3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'Revenue Charts'!$C$2:$N$2</c:f>
            </c:strRef>
          </c:cat>
          <c:val>
            <c:numRef>
              <c:f>'Revenue Charts'!$C$3:$N$3</c:f>
              <c:numCache/>
            </c:numRef>
          </c:val>
        </c:ser>
        <c:axId val="833314802"/>
        <c:axId val="1545294885"/>
      </c:areaChart>
      <c:catAx>
        <c:axId val="833314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Retail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294885"/>
      </c:catAx>
      <c:valAx>
        <c:axId val="15452948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3314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>
  <Task id="{a43d4928-9a8b-4a71-b19d-75f7fa974f0f}">
    <Anchor>
      <Comment id="{a44d359c-cf1b-45db-a860-cb097f44c396}"/>
    </Anchor>
    <History>
      <Event time="2026-02-27T11:17:31.00" id="{4ba9bda7-a491-445b-958d-d295e532fe39}">
        <Attribution userId="placeholder@email.com" userName="Balamir Nazlica" userProvider="google-sheets"/>
        <Anchor>
          <Comment id="{a44d359c-cf1b-45db-a860-cb097f44c396}"/>
        </Anchor>
        <Create/>
      </Event>
      <Event time="2026-02-27T11:17:31.00" id="{8bae055f-5833-43b2-b438-3190b6d625a2}">
        <Attribution userId="placeholder@email.com" userName="Balamir Nazlica" userProvider="google-sheets"/>
        <Anchor>
          <Comment id="{a44d359c-cf1b-45db-a860-cb097f44c396}"/>
        </Anchor>
        <Assign userId="bener@mozaikdesign.com" userName="bener@mozaikdesign.com" userProvider="google-sheets"/>
      </Event>
    </History>
  </Task>
</Task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19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123825</xdr:colOff>
      <xdr:row>19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942975</xdr:colOff>
      <xdr:row>37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123825</xdr:colOff>
      <xdr:row>38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76200</xdr:rowOff>
    </xdr:from>
    <xdr:ext cx="6991350" cy="43243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180975</xdr:rowOff>
    </xdr:from>
    <xdr:ext cx="10477500" cy="64770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8</xdr:row>
      <xdr:rowOff>76200</xdr:rowOff>
    </xdr:from>
    <xdr:ext cx="8924925" cy="55245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bener@mozaikdesign.com" id="{2bf536e5-8052-4666-bb1b-93cd833da6bd}" userId="bener@mozaikdesign.com" providerId="google-sheets"/>
  <x18tc:person displayName="Balamir Nazlica" id="{8b971dd1-0823-49be-8922-596838a2e8d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Y77" dT="2026-02-27T11:17:31.00" personId="{8b971dd1-0823-49be-8922-596838a2e8d0}" id="{a44d359c-cf1b-45db-a860-cb097f44c396}" done="0">
    <x18tc:text xml:space="preserve">@bener@mozaikdesign.com Ocak ayının Outlet satışlarını Retail/Bener olarak mı girdik yoksa girmedik mı? Buna göre Simge hanım girişlerini yapacak. Kısacası Ocak ayınıda girebilir. Bilgilendirmene göre hareket edeceğiz...
Assigned to bener@mozaikdesign.com</x18tc:text>
    <x18tc:mentions>
      <x18tc:mention mentionpersonId="{2bf536e5-8052-4666-bb1b-93cd833da6bd}" mentionId="{f73e1572-6ddb-4ffe-b7c8-946540923eb1}" startIndex="0" length="23"/>
    </x18tc:mentions>
  </x18tc:threadedComment>
  <x18tc:threadedComment ref="P274" dT="2025-11-19T13:02:03.00" personId="{8b971dd1-0823-49be-8922-596838a2e8d0}" id="{8d857190-0a8f-4c3b-b0f8-b2371606d402}" done="0">
    <x18tc:text xml:space="preserve">Data Missing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>
      <c r="A4" s="4" t="s">
        <v>8</v>
      </c>
      <c r="B4" s="5">
        <f>'Satış Departman Verisi'!U3</f>
        <v>2820452.661</v>
      </c>
      <c r="C4" s="5">
        <f>'Satış Departman Verisi'!T3</f>
        <v>2539667.662</v>
      </c>
      <c r="D4" s="6">
        <f>(B4-C4)/C4</f>
        <v>0.110559741</v>
      </c>
      <c r="E4" s="5">
        <f>sum('Satış Departman Verisi'!M3:U3)</f>
        <v>27588755.01</v>
      </c>
      <c r="F4" s="7">
        <f>sum('Satış Departmanı Verisi'!C3:N3)</f>
        <v>32998728.19</v>
      </c>
      <c r="G4" s="6">
        <f>(E4-F4)/F4</f>
        <v>-0.1639448996</v>
      </c>
    </row>
    <row r="5">
      <c r="A5" s="4" t="s">
        <v>9</v>
      </c>
      <c r="B5" s="8"/>
      <c r="C5" s="8"/>
      <c r="D5" s="9"/>
      <c r="E5" s="8"/>
      <c r="F5" s="8"/>
      <c r="G5" s="9"/>
    </row>
    <row r="6">
      <c r="A6" s="4" t="s">
        <v>10</v>
      </c>
      <c r="B6" s="8"/>
      <c r="C6" s="8"/>
      <c r="D6" s="9"/>
      <c r="E6" s="8"/>
      <c r="F6" s="8"/>
      <c r="G6" s="9"/>
    </row>
    <row r="7">
      <c r="A7" s="4" t="s">
        <v>11</v>
      </c>
      <c r="B7" s="8"/>
      <c r="C7" s="8"/>
      <c r="D7" s="9"/>
      <c r="E7" s="8"/>
      <c r="F7" s="8"/>
      <c r="G7" s="9"/>
    </row>
    <row r="8">
      <c r="A8" s="4" t="s">
        <v>12</v>
      </c>
      <c r="B8" s="8"/>
      <c r="C8" s="8"/>
      <c r="D8" s="9"/>
      <c r="E8" s="8"/>
      <c r="F8" s="8"/>
      <c r="G8" s="9"/>
    </row>
    <row r="9">
      <c r="A9" s="2"/>
      <c r="B9" s="2"/>
      <c r="C9" s="2"/>
      <c r="D9" s="2"/>
      <c r="E9" s="2"/>
      <c r="F9" s="2"/>
      <c r="G9" s="2"/>
    </row>
    <row r="10">
      <c r="A10" s="3" t="s">
        <v>13</v>
      </c>
      <c r="B10" s="3" t="s">
        <v>2</v>
      </c>
      <c r="C10" s="3" t="s">
        <v>3</v>
      </c>
      <c r="D10" s="3" t="s">
        <v>4</v>
      </c>
      <c r="E10" s="3" t="s">
        <v>14</v>
      </c>
      <c r="F10" s="3" t="s">
        <v>5</v>
      </c>
      <c r="G10" s="3" t="s">
        <v>6</v>
      </c>
    </row>
    <row r="11">
      <c r="A11" s="4" t="s">
        <v>15</v>
      </c>
      <c r="B11" s="5">
        <f>'Satış Departman Verisi'!U10</f>
        <v>1979165</v>
      </c>
      <c r="C11" s="5">
        <f>'Satış Departman Verisi'!T10</f>
        <v>1395066</v>
      </c>
      <c r="D11" s="9"/>
      <c r="E11" s="10"/>
      <c r="F11" s="8"/>
      <c r="G11" s="11"/>
    </row>
    <row r="12">
      <c r="A12" s="4" t="s">
        <v>16</v>
      </c>
      <c r="B12" s="5">
        <f>'Satış Departman Verisi'!U26</f>
        <v>313366</v>
      </c>
      <c r="C12" s="5">
        <f>'Satış Departman Verisi'!T26</f>
        <v>323951</v>
      </c>
      <c r="D12" s="9"/>
      <c r="E12" s="10"/>
      <c r="F12" s="8"/>
      <c r="G12" s="11"/>
    </row>
    <row r="13">
      <c r="A13" s="4" t="s">
        <v>17</v>
      </c>
      <c r="B13" s="5">
        <f>'Satış Departman Verisi'!U42</f>
        <v>519257.15</v>
      </c>
      <c r="C13" s="5">
        <f>'Satış Departman Verisi'!T42</f>
        <v>813659.04</v>
      </c>
      <c r="D13" s="9"/>
      <c r="E13" s="10"/>
      <c r="F13" s="8"/>
      <c r="G13" s="11"/>
    </row>
    <row r="14">
      <c r="A14" s="12" t="s">
        <v>18</v>
      </c>
      <c r="B14" s="8"/>
      <c r="C14" s="8"/>
      <c r="D14" s="9"/>
      <c r="E14" s="10"/>
      <c r="F14" s="8"/>
      <c r="G14" s="11"/>
    </row>
    <row r="15">
      <c r="A15" s="4" t="s">
        <v>19</v>
      </c>
      <c r="B15" s="13">
        <f t="shared" ref="B15:C15" si="1">sum(B11:B14)</f>
        <v>2811788.15</v>
      </c>
      <c r="C15" s="13">
        <f t="shared" si="1"/>
        <v>2532676.04</v>
      </c>
      <c r="D15" s="9"/>
      <c r="E15" s="10"/>
      <c r="F15" s="14">
        <v>0.0</v>
      </c>
      <c r="G15" s="11"/>
    </row>
    <row r="16">
      <c r="A16" s="2"/>
      <c r="B16" s="2"/>
      <c r="C16" s="2"/>
      <c r="D16" s="2"/>
      <c r="E16" s="2"/>
      <c r="F16" s="2"/>
      <c r="G16" s="2"/>
    </row>
    <row r="17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24</v>
      </c>
      <c r="F17" s="2"/>
      <c r="G17" s="2"/>
    </row>
    <row r="18">
      <c r="A18" s="4" t="s">
        <v>25</v>
      </c>
      <c r="B18" s="8"/>
      <c r="C18" s="8"/>
      <c r="D18" s="4" t="s">
        <v>26</v>
      </c>
      <c r="E18" s="8"/>
      <c r="F18" s="2"/>
      <c r="G18" s="2"/>
    </row>
    <row r="19">
      <c r="A19" s="4" t="s">
        <v>27</v>
      </c>
      <c r="B19" s="8"/>
      <c r="C19" s="8"/>
      <c r="D19" s="4" t="s">
        <v>26</v>
      </c>
      <c r="E19" s="8"/>
      <c r="F19" s="2"/>
      <c r="G19" s="2"/>
    </row>
    <row r="20">
      <c r="A20" s="4" t="s">
        <v>28</v>
      </c>
      <c r="B20" s="8"/>
      <c r="C20" s="8"/>
      <c r="D20" s="4" t="s">
        <v>26</v>
      </c>
      <c r="E20" s="8"/>
      <c r="F20" s="2"/>
      <c r="G20" s="2"/>
    </row>
    <row r="21">
      <c r="A21" s="4" t="s">
        <v>29</v>
      </c>
      <c r="B21" s="8"/>
      <c r="C21" s="8"/>
      <c r="D21" s="4" t="s">
        <v>26</v>
      </c>
      <c r="E21" s="8"/>
      <c r="F21" s="2"/>
      <c r="G21" s="2"/>
    </row>
    <row r="22">
      <c r="A22" s="4" t="s">
        <v>30</v>
      </c>
      <c r="B22" s="8"/>
      <c r="C22" s="8"/>
      <c r="D22" s="11"/>
      <c r="E22" s="8"/>
      <c r="F22" s="2"/>
      <c r="G22" s="2"/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Col="1" outlineLevelRow="1"/>
  <cols>
    <col customWidth="1" min="1" max="1" width="38.88"/>
    <col customWidth="1" min="2" max="2" width="24.25"/>
    <col customWidth="1" min="3" max="13" width="14.63"/>
    <col customWidth="1" min="14" max="21" width="14.63" outlineLevel="1"/>
    <col customWidth="1" min="22" max="22" width="12.75" outlineLevel="1"/>
    <col customWidth="1" min="23" max="23" width="14.63" outlineLevel="1"/>
    <col customWidth="1" min="24" max="24" width="13.63" outlineLevel="1"/>
    <col customWidth="1" min="25" max="25" width="13.75"/>
    <col customWidth="1" min="26" max="26" width="12.75"/>
  </cols>
  <sheetData>
    <row r="1">
      <c r="A1" s="15"/>
      <c r="B1" s="16"/>
      <c r="C1" s="17">
        <v>2015.0</v>
      </c>
      <c r="D1" s="17">
        <v>2016.0</v>
      </c>
      <c r="E1" s="17">
        <v>2017.0</v>
      </c>
      <c r="F1" s="17">
        <v>2018.0</v>
      </c>
      <c r="G1" s="17">
        <v>2019.0</v>
      </c>
      <c r="H1" s="17">
        <v>2020.0</v>
      </c>
      <c r="I1" s="17">
        <v>2021.0</v>
      </c>
      <c r="J1" s="17">
        <v>2022.0</v>
      </c>
      <c r="K1" s="17">
        <v>2023.0</v>
      </c>
      <c r="L1" s="17">
        <v>2024.0</v>
      </c>
      <c r="M1" s="18">
        <v>45658.0</v>
      </c>
      <c r="N1" s="18">
        <v>45689.0</v>
      </c>
      <c r="O1" s="18">
        <v>45717.0</v>
      </c>
      <c r="P1" s="18">
        <v>45748.0</v>
      </c>
      <c r="Q1" s="18">
        <v>45778.0</v>
      </c>
      <c r="R1" s="18">
        <v>45809.0</v>
      </c>
      <c r="S1" s="18">
        <v>45839.0</v>
      </c>
      <c r="T1" s="18">
        <v>45870.0</v>
      </c>
      <c r="U1" s="18">
        <v>45901.0</v>
      </c>
      <c r="V1" s="18">
        <v>45931.0</v>
      </c>
      <c r="W1" s="18">
        <v>45962.0</v>
      </c>
      <c r="X1" s="18">
        <v>45992.0</v>
      </c>
      <c r="Y1" s="18">
        <v>46023.0</v>
      </c>
      <c r="Z1" s="18">
        <v>46024.0</v>
      </c>
      <c r="AA1" s="18">
        <v>46025.0</v>
      </c>
    </row>
    <row r="2">
      <c r="A2" s="16"/>
      <c r="B2" s="15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>
      <c r="A3" s="20" t="s">
        <v>31</v>
      </c>
      <c r="B3" s="21"/>
      <c r="C3" s="22">
        <v>1.3882589E7</v>
      </c>
      <c r="D3" s="22">
        <v>7111065.0</v>
      </c>
      <c r="E3" s="22">
        <v>1.0060317E7</v>
      </c>
      <c r="F3" s="22">
        <v>9817554.0</v>
      </c>
      <c r="G3" s="22">
        <v>8035913.0</v>
      </c>
      <c r="H3" s="22">
        <v>1.2854873E7</v>
      </c>
      <c r="I3" s="22">
        <v>1.1246016E7</v>
      </c>
      <c r="J3" s="22">
        <v>1.5938774E7</v>
      </c>
      <c r="K3" s="22">
        <v>1.9580773E7</v>
      </c>
      <c r="L3" s="22">
        <v>2.8260753E7</v>
      </c>
      <c r="M3" s="22">
        <f t="shared" ref="M3:Z3" si="1">M10+M26+M42+M56</f>
        <v>3408772.94</v>
      </c>
      <c r="N3" s="22">
        <f t="shared" si="1"/>
        <v>3091213.842</v>
      </c>
      <c r="O3" s="22">
        <f t="shared" si="1"/>
        <v>2306104.059</v>
      </c>
      <c r="P3" s="22">
        <f t="shared" si="1"/>
        <v>3474646.394</v>
      </c>
      <c r="Q3" s="22">
        <f t="shared" si="1"/>
        <v>2963094.517</v>
      </c>
      <c r="R3" s="22">
        <f t="shared" si="1"/>
        <v>2404086.736</v>
      </c>
      <c r="S3" s="22">
        <f t="shared" si="1"/>
        <v>4580716.197</v>
      </c>
      <c r="T3" s="22">
        <f t="shared" si="1"/>
        <v>2539667.662</v>
      </c>
      <c r="U3" s="22">
        <f t="shared" si="1"/>
        <v>2820452.661</v>
      </c>
      <c r="V3" s="22">
        <f t="shared" si="1"/>
        <v>2494455.883</v>
      </c>
      <c r="W3" s="22">
        <f t="shared" si="1"/>
        <v>2621329</v>
      </c>
      <c r="X3" s="22">
        <f t="shared" si="1"/>
        <v>5727515.58</v>
      </c>
      <c r="Y3" s="22">
        <f t="shared" si="1"/>
        <v>4936718.5</v>
      </c>
      <c r="Z3" s="22">
        <f t="shared" si="1"/>
        <v>3677792.25</v>
      </c>
    </row>
    <row r="4" hidden="1">
      <c r="A4" s="17" t="s">
        <v>32</v>
      </c>
      <c r="B4" s="16"/>
      <c r="M4" s="23">
        <v>1791751.0</v>
      </c>
      <c r="N4" s="23">
        <v>1619577.0</v>
      </c>
      <c r="O4" s="23">
        <v>3154045.0</v>
      </c>
      <c r="P4" s="23">
        <v>2387395.0</v>
      </c>
      <c r="Q4" s="23">
        <v>3066607.0</v>
      </c>
      <c r="R4" s="23">
        <v>2500075.0</v>
      </c>
      <c r="S4" s="23">
        <v>2189851.0</v>
      </c>
      <c r="T4" s="23">
        <v>2300554.0</v>
      </c>
      <c r="U4" s="23">
        <v>2522957.0</v>
      </c>
      <c r="V4" s="23">
        <v>2177152.0</v>
      </c>
      <c r="W4" s="23">
        <v>2289987.0</v>
      </c>
      <c r="X4" s="23">
        <v>2944065.0</v>
      </c>
      <c r="Y4" s="23"/>
    </row>
    <row r="5" hidden="1">
      <c r="A5" s="16" t="s">
        <v>33</v>
      </c>
      <c r="B5" s="17"/>
      <c r="M5" s="24">
        <f t="shared" ref="M5:X5" si="2">M4-M3</f>
        <v>-1617021.94</v>
      </c>
      <c r="N5" s="24">
        <f t="shared" si="2"/>
        <v>-1471636.842</v>
      </c>
      <c r="O5" s="24">
        <f t="shared" si="2"/>
        <v>847940.9411</v>
      </c>
      <c r="P5" s="24">
        <f t="shared" si="2"/>
        <v>-1087251.394</v>
      </c>
      <c r="Q5" s="24">
        <f t="shared" si="2"/>
        <v>103512.4833</v>
      </c>
      <c r="R5" s="24">
        <f t="shared" si="2"/>
        <v>95988.26444</v>
      </c>
      <c r="S5" s="24">
        <f t="shared" si="2"/>
        <v>-2390865.197</v>
      </c>
      <c r="T5" s="24">
        <f t="shared" si="2"/>
        <v>-239113.6622</v>
      </c>
      <c r="U5" s="24">
        <f t="shared" si="2"/>
        <v>-297495.6611</v>
      </c>
      <c r="V5" s="24">
        <f t="shared" si="2"/>
        <v>-317303.8833</v>
      </c>
      <c r="W5" s="24">
        <f t="shared" si="2"/>
        <v>-331342</v>
      </c>
      <c r="X5" s="24">
        <f t="shared" si="2"/>
        <v>-2783450.58</v>
      </c>
      <c r="Y5" s="25"/>
      <c r="AB5" s="26">
        <v>0.55</v>
      </c>
    </row>
    <row r="6">
      <c r="A6" s="16" t="s">
        <v>34</v>
      </c>
      <c r="B6" s="17"/>
      <c r="M6" s="27">
        <v>441524.9</v>
      </c>
      <c r="N6" s="27">
        <v>1057896.33</v>
      </c>
      <c r="O6" s="27">
        <v>17882.0</v>
      </c>
      <c r="P6" s="27">
        <v>619024.0</v>
      </c>
      <c r="Q6" s="27">
        <v>508500.85</v>
      </c>
      <c r="R6" s="27">
        <v>212456.9</v>
      </c>
      <c r="S6" s="27">
        <v>484393.07</v>
      </c>
      <c r="T6" s="27">
        <v>313595.0</v>
      </c>
      <c r="U6" s="27">
        <v>365933.65</v>
      </c>
      <c r="V6" s="27">
        <v>650581.5</v>
      </c>
      <c r="W6" s="27">
        <v>290183.55</v>
      </c>
      <c r="X6" s="27">
        <v>510225.55</v>
      </c>
      <c r="Y6" s="27">
        <v>2564702.0</v>
      </c>
      <c r="Z6" s="27">
        <v>1623071.0</v>
      </c>
      <c r="AB6" s="28" t="s">
        <v>35</v>
      </c>
    </row>
    <row r="7">
      <c r="A7" s="16" t="s">
        <v>36</v>
      </c>
      <c r="B7" s="17"/>
      <c r="M7" s="29">
        <f t="shared" ref="M7:Z7" si="3">M3-M4-M6</f>
        <v>1175497.04</v>
      </c>
      <c r="N7" s="29">
        <f t="shared" si="3"/>
        <v>413740.5122</v>
      </c>
      <c r="O7" s="29">
        <f t="shared" si="3"/>
        <v>-865822.9411</v>
      </c>
      <c r="P7" s="29">
        <f t="shared" si="3"/>
        <v>468227.3944</v>
      </c>
      <c r="Q7" s="29">
        <f t="shared" si="3"/>
        <v>-612013.3333</v>
      </c>
      <c r="R7" s="29">
        <f t="shared" si="3"/>
        <v>-308445.1644</v>
      </c>
      <c r="S7" s="29">
        <f t="shared" si="3"/>
        <v>1906472.127</v>
      </c>
      <c r="T7" s="29">
        <f t="shared" si="3"/>
        <v>-74481.33778</v>
      </c>
      <c r="U7" s="29">
        <f t="shared" si="3"/>
        <v>-68437.98889</v>
      </c>
      <c r="V7" s="29">
        <f t="shared" si="3"/>
        <v>-333277.6167</v>
      </c>
      <c r="W7" s="29">
        <f t="shared" si="3"/>
        <v>41158.45</v>
      </c>
      <c r="X7" s="29">
        <f t="shared" si="3"/>
        <v>2273225.03</v>
      </c>
      <c r="Y7" s="29">
        <f t="shared" si="3"/>
        <v>2372016.5</v>
      </c>
      <c r="Z7" s="29">
        <f t="shared" si="3"/>
        <v>2054721.25</v>
      </c>
    </row>
    <row r="8">
      <c r="A8" s="30" t="s">
        <v>37</v>
      </c>
      <c r="B8" s="31" t="s">
        <v>38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32"/>
      <c r="O8" s="32"/>
      <c r="P8" s="32"/>
      <c r="Q8" s="32"/>
      <c r="R8" s="32"/>
      <c r="S8" s="32"/>
      <c r="T8" s="32"/>
      <c r="U8" s="32"/>
      <c r="V8" s="34"/>
      <c r="W8" s="34"/>
      <c r="X8" s="34"/>
      <c r="Y8" s="34"/>
      <c r="Z8" s="34"/>
    </row>
    <row r="9">
      <c r="B9" s="16" t="s">
        <v>39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>
        <v>8.0</v>
      </c>
      <c r="N9" s="35">
        <v>8.0</v>
      </c>
      <c r="O9" s="35">
        <v>8.0</v>
      </c>
      <c r="P9" s="35">
        <v>8.0</v>
      </c>
      <c r="Q9" s="35">
        <v>7.0</v>
      </c>
      <c r="R9" s="35">
        <v>7.0</v>
      </c>
      <c r="S9" s="35">
        <v>7.0</v>
      </c>
      <c r="T9" s="35">
        <v>7.0</v>
      </c>
      <c r="U9" s="35">
        <v>7.0</v>
      </c>
      <c r="V9" s="35">
        <v>7.0</v>
      </c>
      <c r="W9" s="35">
        <v>7.0</v>
      </c>
      <c r="X9" s="35">
        <v>7.0</v>
      </c>
      <c r="Y9" s="35">
        <v>7.0</v>
      </c>
      <c r="Z9" s="35">
        <v>7.0</v>
      </c>
    </row>
    <row r="10" outlineLevel="1">
      <c r="B10" s="16" t="s">
        <v>40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>
        <f t="shared" ref="M10:X10" si="4">sum(M69:M75)</f>
        <v>1452181</v>
      </c>
      <c r="N10" s="36">
        <f t="shared" si="4"/>
        <v>1508709</v>
      </c>
      <c r="O10" s="36">
        <f t="shared" si="4"/>
        <v>1190281</v>
      </c>
      <c r="P10" s="36">
        <f t="shared" si="4"/>
        <v>1868402</v>
      </c>
      <c r="Q10" s="36">
        <f t="shared" si="4"/>
        <v>1807220</v>
      </c>
      <c r="R10" s="36">
        <f t="shared" si="4"/>
        <v>1485332</v>
      </c>
      <c r="S10" s="36">
        <f t="shared" si="4"/>
        <v>2203964</v>
      </c>
      <c r="T10" s="36">
        <f t="shared" si="4"/>
        <v>1395066</v>
      </c>
      <c r="U10" s="36">
        <f t="shared" si="4"/>
        <v>1979165</v>
      </c>
      <c r="V10" s="36">
        <f t="shared" si="4"/>
        <v>1754966</v>
      </c>
      <c r="W10" s="36">
        <f t="shared" si="4"/>
        <v>1576529</v>
      </c>
      <c r="X10" s="36">
        <f t="shared" si="4"/>
        <v>2068053</v>
      </c>
      <c r="Y10" s="36">
        <f t="shared" ref="Y10:Z10" si="5">sum(Y69:Y77)</f>
        <v>3179580</v>
      </c>
      <c r="Z10" s="36">
        <f t="shared" si="5"/>
        <v>1790827</v>
      </c>
      <c r="AA10" s="36">
        <v>2500000.0</v>
      </c>
    </row>
    <row r="11" outlineLevel="1">
      <c r="B11" s="16" t="s">
        <v>41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>
        <f t="shared" ref="M11:Z11" si="6">sum(M95:M101)</f>
        <v>56</v>
      </c>
      <c r="N11" s="35">
        <f t="shared" si="6"/>
        <v>63</v>
      </c>
      <c r="O11" s="35">
        <f t="shared" si="6"/>
        <v>71</v>
      </c>
      <c r="P11" s="35">
        <f t="shared" si="6"/>
        <v>67</v>
      </c>
      <c r="Q11" s="35">
        <f t="shared" si="6"/>
        <v>122</v>
      </c>
      <c r="R11" s="35">
        <f t="shared" si="6"/>
        <v>57</v>
      </c>
      <c r="S11" s="35">
        <f t="shared" si="6"/>
        <v>89</v>
      </c>
      <c r="T11" s="35">
        <f t="shared" si="6"/>
        <v>65</v>
      </c>
      <c r="U11" s="35">
        <f t="shared" si="6"/>
        <v>63</v>
      </c>
      <c r="V11" s="35">
        <f t="shared" si="6"/>
        <v>70</v>
      </c>
      <c r="W11" s="35">
        <f t="shared" si="6"/>
        <v>73</v>
      </c>
      <c r="X11" s="35">
        <f t="shared" si="6"/>
        <v>87</v>
      </c>
      <c r="Y11" s="35">
        <f t="shared" si="6"/>
        <v>94</v>
      </c>
      <c r="Z11" s="35">
        <f t="shared" si="6"/>
        <v>76</v>
      </c>
    </row>
    <row r="12" outlineLevel="1">
      <c r="B12" s="16" t="s">
        <v>42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>
        <f t="shared" ref="M12:Z12" si="7">M236+M237+M239+M240+M242+M243+M245+M246+M248+M249+M251+M252+M254+M255</f>
        <v>54</v>
      </c>
      <c r="N12" s="35">
        <f t="shared" si="7"/>
        <v>50</v>
      </c>
      <c r="O12" s="35">
        <f t="shared" si="7"/>
        <v>69</v>
      </c>
      <c r="P12" s="35">
        <f t="shared" si="7"/>
        <v>49</v>
      </c>
      <c r="Q12" s="35">
        <f t="shared" si="7"/>
        <v>69</v>
      </c>
      <c r="R12" s="35">
        <f t="shared" si="7"/>
        <v>62</v>
      </c>
      <c r="S12" s="35">
        <f t="shared" si="7"/>
        <v>62</v>
      </c>
      <c r="T12" s="35">
        <f t="shared" si="7"/>
        <v>62</v>
      </c>
      <c r="U12" s="35">
        <f t="shared" si="7"/>
        <v>74</v>
      </c>
      <c r="V12" s="35">
        <f t="shared" si="7"/>
        <v>60</v>
      </c>
      <c r="W12" s="35">
        <f t="shared" si="7"/>
        <v>69</v>
      </c>
      <c r="X12" s="35">
        <f t="shared" si="7"/>
        <v>73</v>
      </c>
      <c r="Y12" s="35">
        <f t="shared" si="7"/>
        <v>58</v>
      </c>
      <c r="Z12" s="35">
        <f t="shared" si="7"/>
        <v>48</v>
      </c>
      <c r="AD12" s="37"/>
    </row>
    <row r="13" ht="21.0" customHeight="1" outlineLevel="1">
      <c r="B13" s="16" t="s">
        <v>43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>
        <f t="shared" ref="M13:Z13" si="8">M236+M239+M242+M245+M248+M251+M254</f>
        <v>30</v>
      </c>
      <c r="N13" s="35">
        <f t="shared" si="8"/>
        <v>23</v>
      </c>
      <c r="O13" s="35">
        <f t="shared" si="8"/>
        <v>32</v>
      </c>
      <c r="P13" s="35">
        <f t="shared" si="8"/>
        <v>20</v>
      </c>
      <c r="Q13" s="35">
        <f t="shared" si="8"/>
        <v>33</v>
      </c>
      <c r="R13" s="35">
        <f t="shared" si="8"/>
        <v>31</v>
      </c>
      <c r="S13" s="35">
        <f t="shared" si="8"/>
        <v>32</v>
      </c>
      <c r="T13" s="35">
        <f t="shared" si="8"/>
        <v>31</v>
      </c>
      <c r="U13" s="35">
        <f t="shared" si="8"/>
        <v>40</v>
      </c>
      <c r="V13" s="35">
        <f t="shared" si="8"/>
        <v>27</v>
      </c>
      <c r="W13" s="35">
        <f t="shared" si="8"/>
        <v>24</v>
      </c>
      <c r="X13" s="35">
        <f t="shared" si="8"/>
        <v>26</v>
      </c>
      <c r="Y13" s="35">
        <f t="shared" si="8"/>
        <v>21</v>
      </c>
      <c r="Z13" s="35">
        <f t="shared" si="8"/>
        <v>15</v>
      </c>
    </row>
    <row r="14" ht="21.0" customHeight="1" outlineLevel="1">
      <c r="B14" s="16" t="s">
        <v>44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>
        <f t="shared" ref="M14:Z14" si="9">M13/M12</f>
        <v>0.5555555556</v>
      </c>
      <c r="N14" s="38">
        <f t="shared" si="9"/>
        <v>0.46</v>
      </c>
      <c r="O14" s="38">
        <f t="shared" si="9"/>
        <v>0.4637681159</v>
      </c>
      <c r="P14" s="38">
        <f t="shared" si="9"/>
        <v>0.4081632653</v>
      </c>
      <c r="Q14" s="38">
        <f t="shared" si="9"/>
        <v>0.4782608696</v>
      </c>
      <c r="R14" s="38">
        <f t="shared" si="9"/>
        <v>0.5</v>
      </c>
      <c r="S14" s="38">
        <f t="shared" si="9"/>
        <v>0.5161290323</v>
      </c>
      <c r="T14" s="38">
        <f t="shared" si="9"/>
        <v>0.5</v>
      </c>
      <c r="U14" s="38">
        <f t="shared" si="9"/>
        <v>0.5405405405</v>
      </c>
      <c r="V14" s="38">
        <f t="shared" si="9"/>
        <v>0.45</v>
      </c>
      <c r="W14" s="38">
        <f t="shared" si="9"/>
        <v>0.347826087</v>
      </c>
      <c r="X14" s="38">
        <f t="shared" si="9"/>
        <v>0.3561643836</v>
      </c>
      <c r="Y14" s="38">
        <f t="shared" si="9"/>
        <v>0.3620689655</v>
      </c>
      <c r="Z14" s="38">
        <f t="shared" si="9"/>
        <v>0.3125</v>
      </c>
    </row>
    <row r="15" outlineLevel="1">
      <c r="B15" s="16" t="s">
        <v>45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>
        <f t="shared" ref="M15:Z15" si="10">M10/M9</f>
        <v>181522.625</v>
      </c>
      <c r="N15" s="36">
        <f t="shared" si="10"/>
        <v>188588.625</v>
      </c>
      <c r="O15" s="36">
        <f t="shared" si="10"/>
        <v>148785.125</v>
      </c>
      <c r="P15" s="36">
        <f t="shared" si="10"/>
        <v>233550.25</v>
      </c>
      <c r="Q15" s="36">
        <f t="shared" si="10"/>
        <v>258174.2857</v>
      </c>
      <c r="R15" s="36">
        <f t="shared" si="10"/>
        <v>212190.2857</v>
      </c>
      <c r="S15" s="36">
        <f t="shared" si="10"/>
        <v>314852</v>
      </c>
      <c r="T15" s="36">
        <f t="shared" si="10"/>
        <v>199295.1429</v>
      </c>
      <c r="U15" s="36">
        <f t="shared" si="10"/>
        <v>282737.8571</v>
      </c>
      <c r="V15" s="36">
        <f t="shared" si="10"/>
        <v>250709.4286</v>
      </c>
      <c r="W15" s="36">
        <f t="shared" si="10"/>
        <v>225218.4286</v>
      </c>
      <c r="X15" s="36">
        <f t="shared" si="10"/>
        <v>295436.1429</v>
      </c>
      <c r="Y15" s="36">
        <f t="shared" si="10"/>
        <v>454225.7143</v>
      </c>
      <c r="Z15" s="36">
        <f t="shared" si="10"/>
        <v>255832.4286</v>
      </c>
    </row>
    <row r="16" ht="28.5" customHeight="1" outlineLevel="1">
      <c r="A16" s="16"/>
      <c r="B16" s="16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9"/>
      <c r="X16" s="40"/>
      <c r="Y16" s="40"/>
      <c r="Z16" s="40"/>
    </row>
    <row r="17" outlineLevel="1">
      <c r="A17" s="16"/>
      <c r="B17" s="41" t="s">
        <v>46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9"/>
      <c r="X17" s="40"/>
      <c r="Y17" s="40"/>
      <c r="Z17" s="40"/>
    </row>
    <row r="18" outlineLevel="1">
      <c r="A18" s="16"/>
      <c r="B18" s="16" t="s">
        <v>47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>
        <f t="shared" ref="M18:Z18" si="11">M237+M240+M243+M246+M249+M252+M255</f>
        <v>24</v>
      </c>
      <c r="N18" s="35">
        <f t="shared" si="11"/>
        <v>27</v>
      </c>
      <c r="O18" s="35">
        <f t="shared" si="11"/>
        <v>37</v>
      </c>
      <c r="P18" s="35">
        <f t="shared" si="11"/>
        <v>29</v>
      </c>
      <c r="Q18" s="35">
        <f t="shared" si="11"/>
        <v>36</v>
      </c>
      <c r="R18" s="35">
        <f t="shared" si="11"/>
        <v>31</v>
      </c>
      <c r="S18" s="35">
        <f t="shared" si="11"/>
        <v>30</v>
      </c>
      <c r="T18" s="35">
        <f t="shared" si="11"/>
        <v>31</v>
      </c>
      <c r="U18" s="35">
        <f t="shared" si="11"/>
        <v>34</v>
      </c>
      <c r="V18" s="35">
        <f t="shared" si="11"/>
        <v>33</v>
      </c>
      <c r="W18" s="35">
        <f t="shared" si="11"/>
        <v>45</v>
      </c>
      <c r="X18" s="35">
        <f t="shared" si="11"/>
        <v>47</v>
      </c>
      <c r="Y18" s="35">
        <f t="shared" si="11"/>
        <v>37</v>
      </c>
      <c r="Z18" s="35">
        <f t="shared" si="11"/>
        <v>33</v>
      </c>
    </row>
    <row r="19" outlineLevel="1">
      <c r="A19" s="16"/>
      <c r="B19" s="16" t="s">
        <v>48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>
        <f t="shared" ref="M19:Z19" si="12">M236+M239+M242+M245+M248+M251+M254</f>
        <v>30</v>
      </c>
      <c r="N19" s="35">
        <f t="shared" si="12"/>
        <v>23</v>
      </c>
      <c r="O19" s="35">
        <f t="shared" si="12"/>
        <v>32</v>
      </c>
      <c r="P19" s="35">
        <f t="shared" si="12"/>
        <v>20</v>
      </c>
      <c r="Q19" s="35">
        <f t="shared" si="12"/>
        <v>33</v>
      </c>
      <c r="R19" s="35">
        <f t="shared" si="12"/>
        <v>31</v>
      </c>
      <c r="S19" s="35">
        <f t="shared" si="12"/>
        <v>32</v>
      </c>
      <c r="T19" s="35">
        <f t="shared" si="12"/>
        <v>31</v>
      </c>
      <c r="U19" s="35">
        <f t="shared" si="12"/>
        <v>40</v>
      </c>
      <c r="V19" s="35">
        <f t="shared" si="12"/>
        <v>27</v>
      </c>
      <c r="W19" s="35">
        <f t="shared" si="12"/>
        <v>24</v>
      </c>
      <c r="X19" s="35">
        <f t="shared" si="12"/>
        <v>26</v>
      </c>
      <c r="Y19" s="35">
        <f t="shared" si="12"/>
        <v>21</v>
      </c>
      <c r="Z19" s="35">
        <f t="shared" si="12"/>
        <v>15</v>
      </c>
    </row>
    <row r="20" outlineLevel="1">
      <c r="A20" s="16"/>
      <c r="B20" s="16" t="s">
        <v>49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9"/>
      <c r="W20" s="39"/>
      <c r="X20" s="40"/>
    </row>
    <row r="21" outlineLevel="1">
      <c r="A21" s="16"/>
      <c r="B21" s="16" t="s">
        <v>50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9"/>
      <c r="W21" s="39"/>
      <c r="X21" s="40"/>
    </row>
    <row r="22" outlineLevel="1">
      <c r="A22" s="16"/>
      <c r="B22" s="12" t="s">
        <v>51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9"/>
      <c r="W22" s="39"/>
      <c r="X22" s="40"/>
    </row>
    <row r="23" outlineLevel="1">
      <c r="A23" s="16"/>
      <c r="B23" s="17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9"/>
      <c r="W23" s="39"/>
      <c r="X23" s="40"/>
    </row>
    <row r="24" outlineLevel="1">
      <c r="A24" s="16"/>
      <c r="B24" s="42" t="s">
        <v>52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4"/>
      <c r="W24" s="44"/>
      <c r="X24" s="34"/>
      <c r="Y24" s="34"/>
      <c r="Z24" s="34"/>
    </row>
    <row r="25" outlineLevel="1">
      <c r="B25" s="16" t="s">
        <v>39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>
        <v>4.0</v>
      </c>
      <c r="N25" s="35">
        <v>4.0</v>
      </c>
      <c r="O25" s="35">
        <v>4.0</v>
      </c>
      <c r="P25" s="35">
        <v>4.0</v>
      </c>
      <c r="Q25" s="35">
        <v>4.0</v>
      </c>
      <c r="R25" s="35">
        <v>4.0</v>
      </c>
      <c r="S25" s="35">
        <v>4.0</v>
      </c>
      <c r="T25" s="35">
        <v>4.0</v>
      </c>
      <c r="U25" s="35">
        <v>4.0</v>
      </c>
      <c r="V25" s="35">
        <v>4.0</v>
      </c>
      <c r="W25" s="35">
        <v>4.0</v>
      </c>
      <c r="X25" s="35">
        <v>4.0</v>
      </c>
      <c r="Y25" s="35">
        <v>4.0</v>
      </c>
      <c r="Z25" s="35">
        <v>4.0</v>
      </c>
    </row>
    <row r="26" outlineLevel="1">
      <c r="B26" s="16" t="s">
        <v>40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>
        <f t="shared" ref="M26:Z26" si="13">sum(M80:M83)</f>
        <v>1459275</v>
      </c>
      <c r="N26" s="36">
        <f t="shared" si="13"/>
        <v>781163.93</v>
      </c>
      <c r="O26" s="36">
        <f t="shared" si="13"/>
        <v>732093</v>
      </c>
      <c r="P26" s="36">
        <f t="shared" si="13"/>
        <v>1166503</v>
      </c>
      <c r="Q26" s="36">
        <f t="shared" si="13"/>
        <v>643089</v>
      </c>
      <c r="R26" s="36">
        <f t="shared" si="13"/>
        <v>473637</v>
      </c>
      <c r="S26" s="36">
        <f t="shared" si="13"/>
        <v>1981194</v>
      </c>
      <c r="T26" s="36">
        <f t="shared" si="13"/>
        <v>323951</v>
      </c>
      <c r="U26" s="36">
        <f t="shared" si="13"/>
        <v>313366</v>
      </c>
      <c r="V26" s="36">
        <f t="shared" si="13"/>
        <v>319627</v>
      </c>
      <c r="W26" s="36">
        <f t="shared" si="13"/>
        <v>672745</v>
      </c>
      <c r="X26" s="36">
        <f t="shared" si="13"/>
        <v>3048543.78</v>
      </c>
      <c r="Y26" s="36">
        <f t="shared" si="13"/>
        <v>1322759</v>
      </c>
      <c r="Z26" s="36">
        <f t="shared" si="13"/>
        <v>1436048</v>
      </c>
    </row>
    <row r="27" outlineLevel="1">
      <c r="B27" s="16" t="s">
        <v>41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>
        <f t="shared" ref="M27:Z27" si="14">sum(M106:M109)</f>
        <v>22</v>
      </c>
      <c r="N27" s="35">
        <f t="shared" si="14"/>
        <v>18</v>
      </c>
      <c r="O27" s="35">
        <f t="shared" si="14"/>
        <v>24</v>
      </c>
      <c r="P27" s="35">
        <f t="shared" si="14"/>
        <v>23</v>
      </c>
      <c r="Q27" s="35">
        <f t="shared" si="14"/>
        <v>24</v>
      </c>
      <c r="R27" s="35">
        <f t="shared" si="14"/>
        <v>17</v>
      </c>
      <c r="S27" s="35">
        <f t="shared" si="14"/>
        <v>28</v>
      </c>
      <c r="T27" s="35">
        <f t="shared" si="14"/>
        <v>15</v>
      </c>
      <c r="U27" s="35">
        <f t="shared" si="14"/>
        <v>15</v>
      </c>
      <c r="V27" s="35">
        <f t="shared" si="14"/>
        <v>18</v>
      </c>
      <c r="W27" s="35">
        <f t="shared" si="14"/>
        <v>23</v>
      </c>
      <c r="X27" s="35">
        <f t="shared" si="14"/>
        <v>27</v>
      </c>
      <c r="Y27" s="35">
        <f t="shared" si="14"/>
        <v>29</v>
      </c>
      <c r="Z27" s="35">
        <f t="shared" si="14"/>
        <v>21</v>
      </c>
    </row>
    <row r="28" outlineLevel="1">
      <c r="A28" s="45"/>
      <c r="B28" s="16" t="s">
        <v>42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>
        <f t="shared" ref="M28:Z28" si="15">(M265+M266+M268+M269+M271+M272+M274+M275)</f>
        <v>21</v>
      </c>
      <c r="N28" s="35">
        <f t="shared" si="15"/>
        <v>18</v>
      </c>
      <c r="O28" s="35">
        <f t="shared" si="15"/>
        <v>23</v>
      </c>
      <c r="P28" s="35">
        <f t="shared" si="15"/>
        <v>21</v>
      </c>
      <c r="Q28" s="35">
        <f t="shared" si="15"/>
        <v>20</v>
      </c>
      <c r="R28" s="35">
        <f t="shared" si="15"/>
        <v>16</v>
      </c>
      <c r="S28" s="35">
        <f t="shared" si="15"/>
        <v>27</v>
      </c>
      <c r="T28" s="35">
        <f t="shared" si="15"/>
        <v>15</v>
      </c>
      <c r="U28" s="35">
        <f t="shared" si="15"/>
        <v>15</v>
      </c>
      <c r="V28" s="35">
        <f t="shared" si="15"/>
        <v>15</v>
      </c>
      <c r="W28" s="35">
        <f t="shared" si="15"/>
        <v>27</v>
      </c>
      <c r="X28" s="35">
        <f t="shared" si="15"/>
        <v>28</v>
      </c>
      <c r="Y28" s="35">
        <f t="shared" si="15"/>
        <v>28</v>
      </c>
      <c r="Z28" s="35">
        <f t="shared" si="15"/>
        <v>14</v>
      </c>
    </row>
    <row r="29" outlineLevel="1">
      <c r="A29" s="45"/>
      <c r="B29" s="16" t="s">
        <v>43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>
        <f t="shared" ref="M29:Z29" si="16">M265+M268+M271+M274</f>
        <v>7</v>
      </c>
      <c r="N29" s="35">
        <f t="shared" si="16"/>
        <v>7</v>
      </c>
      <c r="O29" s="35">
        <f t="shared" si="16"/>
        <v>11</v>
      </c>
      <c r="P29" s="35">
        <f t="shared" si="16"/>
        <v>13</v>
      </c>
      <c r="Q29" s="35">
        <f t="shared" si="16"/>
        <v>11</v>
      </c>
      <c r="R29" s="35">
        <f t="shared" si="16"/>
        <v>10</v>
      </c>
      <c r="S29" s="35">
        <f t="shared" si="16"/>
        <v>14</v>
      </c>
      <c r="T29" s="35">
        <f t="shared" si="16"/>
        <v>9</v>
      </c>
      <c r="U29" s="35">
        <f t="shared" si="16"/>
        <v>6</v>
      </c>
      <c r="V29" s="35">
        <f t="shared" si="16"/>
        <v>6</v>
      </c>
      <c r="W29" s="35">
        <f t="shared" si="16"/>
        <v>5</v>
      </c>
      <c r="X29" s="35">
        <f t="shared" si="16"/>
        <v>6</v>
      </c>
      <c r="Y29" s="35">
        <f t="shared" si="16"/>
        <v>9</v>
      </c>
      <c r="Z29" s="35">
        <f t="shared" si="16"/>
        <v>4</v>
      </c>
    </row>
    <row r="30" outlineLevel="1">
      <c r="A30" s="45"/>
      <c r="B30" s="16" t="s">
        <v>44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>
        <f t="shared" ref="M30:Z30" si="17">M29/M28</f>
        <v>0.3333333333</v>
      </c>
      <c r="N30" s="38">
        <f t="shared" si="17"/>
        <v>0.3888888889</v>
      </c>
      <c r="O30" s="38">
        <f t="shared" si="17"/>
        <v>0.4782608696</v>
      </c>
      <c r="P30" s="38">
        <f t="shared" si="17"/>
        <v>0.619047619</v>
      </c>
      <c r="Q30" s="38">
        <f t="shared" si="17"/>
        <v>0.55</v>
      </c>
      <c r="R30" s="38">
        <f t="shared" si="17"/>
        <v>0.625</v>
      </c>
      <c r="S30" s="38">
        <f t="shared" si="17"/>
        <v>0.5185185185</v>
      </c>
      <c r="T30" s="38">
        <f t="shared" si="17"/>
        <v>0.6</v>
      </c>
      <c r="U30" s="38">
        <f t="shared" si="17"/>
        <v>0.4</v>
      </c>
      <c r="V30" s="38">
        <f t="shared" si="17"/>
        <v>0.4</v>
      </c>
      <c r="W30" s="38">
        <f t="shared" si="17"/>
        <v>0.1851851852</v>
      </c>
      <c r="X30" s="38">
        <f t="shared" si="17"/>
        <v>0.2142857143</v>
      </c>
      <c r="Y30" s="38">
        <f t="shared" si="17"/>
        <v>0.3214285714</v>
      </c>
      <c r="Z30" s="38">
        <f t="shared" si="17"/>
        <v>0.2857142857</v>
      </c>
    </row>
    <row r="31" outlineLevel="1">
      <c r="A31" s="45"/>
      <c r="B31" s="16" t="s">
        <v>45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>
        <f t="shared" ref="M31:Z31" si="18">M26/M25</f>
        <v>364818.75</v>
      </c>
      <c r="N31" s="36">
        <f t="shared" si="18"/>
        <v>195290.9825</v>
      </c>
      <c r="O31" s="36">
        <f t="shared" si="18"/>
        <v>183023.25</v>
      </c>
      <c r="P31" s="36">
        <f t="shared" si="18"/>
        <v>291625.75</v>
      </c>
      <c r="Q31" s="36">
        <f t="shared" si="18"/>
        <v>160772.25</v>
      </c>
      <c r="R31" s="36">
        <f t="shared" si="18"/>
        <v>118409.25</v>
      </c>
      <c r="S31" s="36">
        <f t="shared" si="18"/>
        <v>495298.5</v>
      </c>
      <c r="T31" s="36">
        <f t="shared" si="18"/>
        <v>80987.75</v>
      </c>
      <c r="U31" s="36">
        <f t="shared" si="18"/>
        <v>78341.5</v>
      </c>
      <c r="V31" s="36">
        <f t="shared" si="18"/>
        <v>79906.75</v>
      </c>
      <c r="W31" s="36">
        <f t="shared" si="18"/>
        <v>168186.25</v>
      </c>
      <c r="X31" s="36">
        <f t="shared" si="18"/>
        <v>762135.945</v>
      </c>
      <c r="Y31" s="36">
        <f t="shared" si="18"/>
        <v>330689.75</v>
      </c>
      <c r="Z31" s="36">
        <f t="shared" si="18"/>
        <v>359012</v>
      </c>
    </row>
    <row r="32" outlineLevel="1">
      <c r="A32" s="45"/>
      <c r="B32" s="1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39"/>
      <c r="X32" s="39"/>
    </row>
    <row r="33" outlineLevel="1">
      <c r="A33" s="45"/>
      <c r="B33" s="47" t="s">
        <v>46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9"/>
      <c r="X33" s="39"/>
    </row>
    <row r="34" outlineLevel="1">
      <c r="A34" s="45"/>
      <c r="B34" s="16" t="s">
        <v>47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>
        <f t="shared" ref="M34:Z34" si="19">(M266+M269+M272+M275)</f>
        <v>14</v>
      </c>
      <c r="N34" s="35">
        <f t="shared" si="19"/>
        <v>11</v>
      </c>
      <c r="O34" s="35">
        <f t="shared" si="19"/>
        <v>12</v>
      </c>
      <c r="P34" s="35">
        <f t="shared" si="19"/>
        <v>8</v>
      </c>
      <c r="Q34" s="35">
        <f t="shared" si="19"/>
        <v>9</v>
      </c>
      <c r="R34" s="35">
        <f t="shared" si="19"/>
        <v>6</v>
      </c>
      <c r="S34" s="35">
        <f t="shared" si="19"/>
        <v>13</v>
      </c>
      <c r="T34" s="35">
        <f t="shared" si="19"/>
        <v>6</v>
      </c>
      <c r="U34" s="35">
        <f t="shared" si="19"/>
        <v>9</v>
      </c>
      <c r="V34" s="35">
        <f t="shared" si="19"/>
        <v>9</v>
      </c>
      <c r="W34" s="35">
        <f t="shared" si="19"/>
        <v>22</v>
      </c>
      <c r="X34" s="35">
        <f t="shared" si="19"/>
        <v>22</v>
      </c>
      <c r="Y34" s="35">
        <f t="shared" si="19"/>
        <v>19</v>
      </c>
      <c r="Z34" s="35">
        <f t="shared" si="19"/>
        <v>10</v>
      </c>
    </row>
    <row r="35" outlineLevel="1">
      <c r="A35" s="45"/>
      <c r="B35" s="16" t="s">
        <v>48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>
        <f t="shared" ref="M35:Z35" si="20">(M265+M268+M271+M274)</f>
        <v>7</v>
      </c>
      <c r="N35" s="35">
        <f t="shared" si="20"/>
        <v>7</v>
      </c>
      <c r="O35" s="35">
        <f t="shared" si="20"/>
        <v>11</v>
      </c>
      <c r="P35" s="35">
        <f t="shared" si="20"/>
        <v>13</v>
      </c>
      <c r="Q35" s="35">
        <f t="shared" si="20"/>
        <v>11</v>
      </c>
      <c r="R35" s="35">
        <f t="shared" si="20"/>
        <v>10</v>
      </c>
      <c r="S35" s="35">
        <f t="shared" si="20"/>
        <v>14</v>
      </c>
      <c r="T35" s="35">
        <f t="shared" si="20"/>
        <v>9</v>
      </c>
      <c r="U35" s="35">
        <f t="shared" si="20"/>
        <v>6</v>
      </c>
      <c r="V35" s="35">
        <f t="shared" si="20"/>
        <v>6</v>
      </c>
      <c r="W35" s="35">
        <f t="shared" si="20"/>
        <v>5</v>
      </c>
      <c r="X35" s="35">
        <f t="shared" si="20"/>
        <v>6</v>
      </c>
      <c r="Y35" s="35">
        <f t="shared" si="20"/>
        <v>9</v>
      </c>
      <c r="Z35" s="35">
        <f t="shared" si="20"/>
        <v>4</v>
      </c>
    </row>
    <row r="36" outlineLevel="1">
      <c r="A36" s="45"/>
      <c r="B36" s="16" t="s">
        <v>49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9"/>
      <c r="W36" s="39"/>
      <c r="X36" s="39"/>
    </row>
    <row r="37" outlineLevel="1">
      <c r="A37" s="45"/>
      <c r="B37" s="16" t="s">
        <v>50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9"/>
      <c r="W37" s="39"/>
      <c r="X37" s="39"/>
    </row>
    <row r="38" outlineLevel="1">
      <c r="A38" s="45"/>
      <c r="B38" s="12" t="s">
        <v>51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9"/>
      <c r="W38" s="39"/>
      <c r="X38" s="39"/>
    </row>
    <row r="39" outlineLevel="1">
      <c r="A39" s="45"/>
      <c r="B39" s="16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9"/>
      <c r="W39" s="39"/>
      <c r="X39" s="39"/>
    </row>
    <row r="40" outlineLevel="1">
      <c r="A40" s="45"/>
      <c r="B40" s="48" t="s">
        <v>53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4"/>
      <c r="W40" s="44"/>
      <c r="X40" s="44"/>
      <c r="Y40" s="44"/>
      <c r="Z40" s="44"/>
    </row>
    <row r="41" outlineLevel="1">
      <c r="A41" s="45"/>
      <c r="B41" s="16" t="s">
        <v>39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>
        <v>5.0</v>
      </c>
      <c r="N41" s="35">
        <v>5.0</v>
      </c>
      <c r="O41" s="35">
        <v>5.0</v>
      </c>
      <c r="P41" s="35">
        <v>5.0</v>
      </c>
      <c r="Q41" s="35">
        <v>4.0</v>
      </c>
      <c r="R41" s="35">
        <v>4.0</v>
      </c>
      <c r="S41" s="35">
        <v>4.0</v>
      </c>
      <c r="T41" s="35">
        <v>4.0</v>
      </c>
      <c r="U41" s="35">
        <v>4.0</v>
      </c>
      <c r="V41" s="35">
        <v>4.0</v>
      </c>
      <c r="W41" s="35">
        <v>4.0</v>
      </c>
      <c r="X41" s="35">
        <v>4.0</v>
      </c>
      <c r="Y41" s="35">
        <v>4.0</v>
      </c>
      <c r="Z41" s="35">
        <v>4.0</v>
      </c>
    </row>
    <row r="42" outlineLevel="1">
      <c r="B42" s="16" t="s">
        <v>40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>
        <f t="shared" ref="M42:Z42" si="21">sum(M86:M89)</f>
        <v>491879.34</v>
      </c>
      <c r="N42" s="36">
        <f t="shared" si="21"/>
        <v>790041.89</v>
      </c>
      <c r="O42" s="36">
        <f t="shared" si="21"/>
        <v>374298.77</v>
      </c>
      <c r="P42" s="36">
        <f t="shared" si="21"/>
        <v>427805.55</v>
      </c>
      <c r="Q42" s="36">
        <f t="shared" si="21"/>
        <v>501227.45</v>
      </c>
      <c r="R42" s="36">
        <f t="shared" si="21"/>
        <v>439259.98</v>
      </c>
      <c r="S42" s="36">
        <f t="shared" si="21"/>
        <v>379764.73</v>
      </c>
      <c r="T42" s="36">
        <f t="shared" si="21"/>
        <v>813659.04</v>
      </c>
      <c r="U42" s="36">
        <f t="shared" si="21"/>
        <v>519257.15</v>
      </c>
      <c r="V42" s="36">
        <f t="shared" si="21"/>
        <v>407776.75</v>
      </c>
      <c r="W42" s="36">
        <f t="shared" si="21"/>
        <v>361735</v>
      </c>
      <c r="X42" s="36">
        <f t="shared" si="21"/>
        <v>548875.8</v>
      </c>
      <c r="Y42" s="36">
        <f t="shared" si="21"/>
        <v>407393.5</v>
      </c>
      <c r="Z42" s="36">
        <f t="shared" si="21"/>
        <v>426049.25</v>
      </c>
    </row>
    <row r="43" outlineLevel="1">
      <c r="A43" s="16"/>
      <c r="B43" s="16" t="s">
        <v>41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>
        <f t="shared" ref="M43:Z43" si="22">(M218+M219+M221+M222+M224+M225+M227+M228)</f>
        <v>25</v>
      </c>
      <c r="N43" s="35">
        <f t="shared" si="22"/>
        <v>22</v>
      </c>
      <c r="O43" s="35">
        <f t="shared" si="22"/>
        <v>28</v>
      </c>
      <c r="P43" s="35">
        <f t="shared" si="22"/>
        <v>31</v>
      </c>
      <c r="Q43" s="35">
        <f t="shared" si="22"/>
        <v>45</v>
      </c>
      <c r="R43" s="35">
        <f t="shared" si="22"/>
        <v>40</v>
      </c>
      <c r="S43" s="35">
        <f t="shared" si="22"/>
        <v>34</v>
      </c>
      <c r="T43" s="35">
        <f t="shared" si="22"/>
        <v>27</v>
      </c>
      <c r="U43" s="35">
        <f t="shared" si="22"/>
        <v>43</v>
      </c>
      <c r="V43" s="35">
        <f t="shared" si="22"/>
        <v>58</v>
      </c>
      <c r="W43" s="35">
        <f t="shared" si="22"/>
        <v>46</v>
      </c>
      <c r="X43" s="35">
        <f t="shared" si="22"/>
        <v>79</v>
      </c>
      <c r="Y43" s="35">
        <f t="shared" si="22"/>
        <v>60</v>
      </c>
      <c r="Z43" s="35">
        <f t="shared" si="22"/>
        <v>58</v>
      </c>
    </row>
    <row r="44" outlineLevel="1">
      <c r="A44" s="45"/>
      <c r="B44" s="16" t="s">
        <v>42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outlineLevel="1">
      <c r="A45" s="45"/>
      <c r="B45" s="16" t="s">
        <v>45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>
        <f t="shared" ref="M45:Z45" si="23">M42/M41</f>
        <v>98375.868</v>
      </c>
      <c r="N45" s="36">
        <f t="shared" si="23"/>
        <v>158008.378</v>
      </c>
      <c r="O45" s="36">
        <f t="shared" si="23"/>
        <v>74859.754</v>
      </c>
      <c r="P45" s="36">
        <f t="shared" si="23"/>
        <v>85561.11</v>
      </c>
      <c r="Q45" s="36">
        <f t="shared" si="23"/>
        <v>125306.8625</v>
      </c>
      <c r="R45" s="36">
        <f t="shared" si="23"/>
        <v>109814.995</v>
      </c>
      <c r="S45" s="36">
        <f t="shared" si="23"/>
        <v>94941.1825</v>
      </c>
      <c r="T45" s="36">
        <f t="shared" si="23"/>
        <v>203414.76</v>
      </c>
      <c r="U45" s="36">
        <f t="shared" si="23"/>
        <v>129814.2875</v>
      </c>
      <c r="V45" s="36">
        <f t="shared" si="23"/>
        <v>101944.1875</v>
      </c>
      <c r="W45" s="36">
        <f t="shared" si="23"/>
        <v>90433.75</v>
      </c>
      <c r="X45" s="36">
        <f t="shared" si="23"/>
        <v>137218.95</v>
      </c>
      <c r="Y45" s="36">
        <f t="shared" si="23"/>
        <v>101848.375</v>
      </c>
      <c r="Z45" s="36">
        <f t="shared" si="23"/>
        <v>106512.3125</v>
      </c>
    </row>
    <row r="46" outlineLevel="1">
      <c r="A46" s="45"/>
      <c r="B46" s="1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39"/>
      <c r="X46" s="39"/>
    </row>
    <row r="47" outlineLevel="1">
      <c r="A47" s="45"/>
      <c r="B47" s="47" t="s">
        <v>46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9"/>
      <c r="X47" s="39"/>
    </row>
    <row r="48" outlineLevel="1">
      <c r="A48" s="45"/>
      <c r="B48" s="16" t="s">
        <v>47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9"/>
      <c r="X48" s="39"/>
    </row>
    <row r="49" outlineLevel="1">
      <c r="A49" s="45"/>
      <c r="B49" s="16" t="s">
        <v>48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9"/>
      <c r="X49" s="39"/>
    </row>
    <row r="50" outlineLevel="1">
      <c r="A50" s="45"/>
      <c r="B50" s="16" t="s">
        <v>49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9"/>
      <c r="X50" s="39"/>
    </row>
    <row r="51" outlineLevel="1">
      <c r="A51" s="45"/>
      <c r="B51" s="16" t="s">
        <v>50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9"/>
      <c r="X51" s="39"/>
    </row>
    <row r="52" outlineLevel="1">
      <c r="A52" s="45"/>
      <c r="B52" s="12" t="s">
        <v>51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9"/>
      <c r="X52" s="39"/>
    </row>
    <row r="53" outlineLevel="1">
      <c r="A53" s="45"/>
      <c r="B53" s="16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9"/>
      <c r="X53" s="39"/>
    </row>
    <row r="54" outlineLevel="1">
      <c r="A54" s="45"/>
      <c r="B54" s="49" t="s">
        <v>54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9"/>
      <c r="X54" s="39"/>
    </row>
    <row r="55" outlineLevel="1">
      <c r="A55" s="45"/>
      <c r="B55" s="16" t="s">
        <v>39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>
        <v>1.0</v>
      </c>
      <c r="N55" s="35">
        <v>1.0</v>
      </c>
      <c r="O55" s="35">
        <v>1.0</v>
      </c>
      <c r="P55" s="35">
        <v>1.0</v>
      </c>
      <c r="Q55" s="35">
        <v>1.0</v>
      </c>
      <c r="R55" s="35">
        <v>1.0</v>
      </c>
      <c r="S55" s="35">
        <v>1.0</v>
      </c>
      <c r="T55" s="35">
        <v>1.0</v>
      </c>
      <c r="U55" s="35">
        <v>1.0</v>
      </c>
      <c r="V55" s="35">
        <v>1.0</v>
      </c>
      <c r="W55" s="35">
        <v>1.0</v>
      </c>
      <c r="X55" s="35">
        <v>1.0</v>
      </c>
      <c r="Y55" s="35">
        <v>1.0</v>
      </c>
      <c r="Z55" s="35">
        <v>1.0</v>
      </c>
      <c r="AA55" s="12">
        <v>1.0</v>
      </c>
    </row>
    <row r="56" outlineLevel="1">
      <c r="A56" s="16"/>
      <c r="B56" s="16" t="s">
        <v>40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>
        <f>244692/45</f>
        <v>5437.6</v>
      </c>
      <c r="N56" s="36">
        <f>508456/45</f>
        <v>11299.02222</v>
      </c>
      <c r="O56" s="36">
        <f>424408/45</f>
        <v>9431.288889</v>
      </c>
      <c r="P56" s="36">
        <f>537113/45</f>
        <v>11935.84444</v>
      </c>
      <c r="Q56" s="36">
        <f>520113/45</f>
        <v>11558.06667</v>
      </c>
      <c r="R56" s="36">
        <f>263599/45</f>
        <v>5857.755556</v>
      </c>
      <c r="S56" s="36">
        <f>710706/45</f>
        <v>15793.46667</v>
      </c>
      <c r="T56" s="36">
        <f>314623/45</f>
        <v>6991.622222</v>
      </c>
      <c r="U56" s="36">
        <f>389903/45</f>
        <v>8664.511111</v>
      </c>
      <c r="V56" s="36">
        <f>543876/45</f>
        <v>12086.13333</v>
      </c>
      <c r="W56" s="36">
        <v>10320.0</v>
      </c>
      <c r="X56" s="36">
        <v>62043.0</v>
      </c>
      <c r="Y56" s="36">
        <v>26986.0</v>
      </c>
      <c r="Z56" s="36">
        <v>24868.0</v>
      </c>
      <c r="AA56" s="36">
        <v>35247.0</v>
      </c>
    </row>
    <row r="57" outlineLevel="1">
      <c r="B57" s="16" t="s">
        <v>41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>
        <v>19.0</v>
      </c>
      <c r="N57" s="35">
        <v>27.0</v>
      </c>
      <c r="O57" s="35">
        <v>26.0</v>
      </c>
      <c r="P57" s="35">
        <v>25.0</v>
      </c>
      <c r="Q57" s="35">
        <v>20.0</v>
      </c>
      <c r="R57" s="35">
        <v>15.0</v>
      </c>
      <c r="S57" s="35">
        <v>24.0</v>
      </c>
      <c r="T57" s="35">
        <v>18.0</v>
      </c>
      <c r="U57" s="35">
        <v>17.0</v>
      </c>
      <c r="V57" s="35">
        <v>29.0</v>
      </c>
      <c r="W57" s="35">
        <v>29.0</v>
      </c>
      <c r="X57" s="35">
        <v>29.0</v>
      </c>
      <c r="Y57" s="12">
        <v>85.0</v>
      </c>
      <c r="Z57" s="12">
        <v>42.0</v>
      </c>
      <c r="AA57" s="12">
        <v>49.0</v>
      </c>
    </row>
    <row r="58" outlineLevel="1">
      <c r="B58" s="16" t="s">
        <v>42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>
        <v>19.0</v>
      </c>
      <c r="N58" s="35">
        <v>27.0</v>
      </c>
      <c r="O58" s="35">
        <v>26.0</v>
      </c>
      <c r="P58" s="35">
        <v>25.0</v>
      </c>
      <c r="Q58" s="35">
        <v>20.0</v>
      </c>
      <c r="R58" s="35">
        <v>15.0</v>
      </c>
      <c r="S58" s="35">
        <v>24.0</v>
      </c>
      <c r="T58" s="35">
        <v>18.0</v>
      </c>
      <c r="U58" s="35">
        <v>17.0</v>
      </c>
      <c r="V58" s="35">
        <v>29.0</v>
      </c>
      <c r="W58" s="35">
        <v>29.0</v>
      </c>
      <c r="X58" s="35">
        <v>85.0</v>
      </c>
      <c r="Y58" s="12">
        <v>75.0</v>
      </c>
      <c r="Z58" s="12">
        <v>38.0</v>
      </c>
      <c r="AA58" s="12">
        <v>45.0</v>
      </c>
    </row>
    <row r="59" outlineLevel="1">
      <c r="B59" s="16" t="s">
        <v>55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>
        <f t="shared" ref="M59:X59" si="24">M56/M55</f>
        <v>5437.6</v>
      </c>
      <c r="N59" s="36">
        <f t="shared" si="24"/>
        <v>11299.02222</v>
      </c>
      <c r="O59" s="36">
        <f t="shared" si="24"/>
        <v>9431.288889</v>
      </c>
      <c r="P59" s="36">
        <f t="shared" si="24"/>
        <v>11935.84444</v>
      </c>
      <c r="Q59" s="36">
        <f t="shared" si="24"/>
        <v>11558.06667</v>
      </c>
      <c r="R59" s="36">
        <f t="shared" si="24"/>
        <v>5857.755556</v>
      </c>
      <c r="S59" s="36">
        <f t="shared" si="24"/>
        <v>15793.46667</v>
      </c>
      <c r="T59" s="36">
        <f t="shared" si="24"/>
        <v>6991.622222</v>
      </c>
      <c r="U59" s="36">
        <f t="shared" si="24"/>
        <v>8664.511111</v>
      </c>
      <c r="V59" s="36">
        <f t="shared" si="24"/>
        <v>12086.13333</v>
      </c>
      <c r="W59" s="36">
        <f t="shared" si="24"/>
        <v>10320</v>
      </c>
      <c r="X59" s="36">
        <f t="shared" si="24"/>
        <v>62043</v>
      </c>
      <c r="Y59" s="36">
        <v>26986.0</v>
      </c>
      <c r="Z59" s="36">
        <v>24868.0</v>
      </c>
      <c r="AA59" s="36">
        <v>35247.0</v>
      </c>
    </row>
    <row r="60" outlineLevel="1">
      <c r="B60" s="1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40"/>
      <c r="W60" s="40"/>
      <c r="X60" s="40"/>
    </row>
    <row r="61" outlineLevel="1">
      <c r="B61" s="47" t="s">
        <v>46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1"/>
      <c r="O61" s="40"/>
      <c r="P61" s="40"/>
      <c r="Q61" s="40"/>
      <c r="R61" s="40"/>
      <c r="S61" s="40"/>
      <c r="T61" s="40"/>
      <c r="U61" s="40"/>
      <c r="V61" s="40"/>
      <c r="W61" s="40"/>
      <c r="X61" s="40"/>
    </row>
    <row r="62" outlineLevel="1">
      <c r="B62" s="16" t="s">
        <v>47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>
        <v>10.0</v>
      </c>
      <c r="N62" s="35">
        <f>23-18</f>
        <v>5</v>
      </c>
      <c r="O62" s="35">
        <f>24-O63</f>
        <v>3</v>
      </c>
      <c r="P62" s="35">
        <f>25-P63</f>
        <v>7</v>
      </c>
      <c r="Q62" s="35">
        <f>16-Q63</f>
        <v>3</v>
      </c>
      <c r="R62" s="35">
        <f>9-R63</f>
        <v>3</v>
      </c>
      <c r="S62" s="35">
        <f>27-S63</f>
        <v>12</v>
      </c>
      <c r="T62" s="35">
        <f>14-T63</f>
        <v>1</v>
      </c>
      <c r="U62" s="35">
        <f>8-U63</f>
        <v>1</v>
      </c>
      <c r="V62" s="35">
        <v>0.0</v>
      </c>
      <c r="W62" s="52">
        <v>12.0</v>
      </c>
      <c r="X62" s="52">
        <v>18.0</v>
      </c>
      <c r="Y62" s="12">
        <v>13.0</v>
      </c>
      <c r="Z62" s="12">
        <v>10.0</v>
      </c>
      <c r="AA62" s="12">
        <v>12.0</v>
      </c>
    </row>
    <row r="63" outlineLevel="1">
      <c r="B63" s="16" t="s">
        <v>48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>
        <v>3.0</v>
      </c>
      <c r="N63" s="35">
        <v>18.0</v>
      </c>
      <c r="O63" s="35">
        <v>21.0</v>
      </c>
      <c r="P63" s="35">
        <v>18.0</v>
      </c>
      <c r="Q63" s="35">
        <v>13.0</v>
      </c>
      <c r="R63" s="35">
        <v>6.0</v>
      </c>
      <c r="S63" s="35">
        <v>15.0</v>
      </c>
      <c r="T63" s="35">
        <v>13.0</v>
      </c>
      <c r="U63" s="35">
        <v>7.0</v>
      </c>
      <c r="V63" s="35">
        <v>22.0</v>
      </c>
      <c r="W63" s="52">
        <v>16.0</v>
      </c>
      <c r="X63" s="52">
        <v>67.0</v>
      </c>
      <c r="Y63" s="12">
        <v>62.0</v>
      </c>
      <c r="Z63" s="12">
        <v>28.0</v>
      </c>
      <c r="AA63" s="12">
        <v>33.0</v>
      </c>
    </row>
    <row r="64" outlineLevel="1">
      <c r="B64" s="16" t="s">
        <v>49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1"/>
      <c r="O64" s="40"/>
      <c r="P64" s="40"/>
      <c r="Q64" s="40"/>
      <c r="R64" s="40"/>
      <c r="S64" s="40"/>
      <c r="T64" s="40"/>
      <c r="U64" s="40"/>
      <c r="V64" s="40"/>
      <c r="W64" s="40"/>
      <c r="X64" s="40"/>
    </row>
    <row r="65" outlineLevel="1">
      <c r="B65" s="16" t="s">
        <v>50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1"/>
      <c r="O65" s="40"/>
      <c r="P65" s="40"/>
      <c r="Q65" s="40"/>
      <c r="R65" s="40"/>
      <c r="S65" s="40"/>
      <c r="T65" s="40"/>
      <c r="U65" s="40"/>
      <c r="V65" s="40"/>
      <c r="W65" s="40"/>
      <c r="X65" s="40"/>
    </row>
    <row r="66" outlineLevel="1">
      <c r="B66" s="12" t="s">
        <v>51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1"/>
      <c r="O66" s="40"/>
      <c r="P66" s="40"/>
      <c r="Q66" s="40"/>
      <c r="R66" s="40"/>
      <c r="S66" s="40"/>
      <c r="T66" s="40"/>
      <c r="U66" s="40"/>
      <c r="V66" s="40"/>
      <c r="W66" s="40"/>
      <c r="X66" s="40"/>
    </row>
    <row r="67">
      <c r="B67" s="15"/>
      <c r="V67" s="40"/>
      <c r="W67" s="40"/>
      <c r="X67" s="40"/>
    </row>
    <row r="68">
      <c r="A68" s="54" t="s">
        <v>56</v>
      </c>
      <c r="B68" s="31" t="s">
        <v>38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40"/>
      <c r="W68" s="40"/>
      <c r="X68" s="40"/>
    </row>
    <row r="69">
      <c r="A69" s="15"/>
      <c r="B69" s="16" t="s">
        <v>57</v>
      </c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>
        <v>275998.0</v>
      </c>
      <c r="N69" s="36">
        <v>347957.0</v>
      </c>
      <c r="O69" s="36">
        <v>320520.0</v>
      </c>
      <c r="P69" s="36">
        <v>140258.0</v>
      </c>
      <c r="Q69" s="36">
        <v>447101.0</v>
      </c>
      <c r="R69" s="36">
        <v>9956.0</v>
      </c>
      <c r="S69" s="36">
        <v>143847.0</v>
      </c>
      <c r="T69" s="36">
        <v>188529.0</v>
      </c>
      <c r="U69" s="36">
        <v>99095.0</v>
      </c>
      <c r="V69" s="36">
        <v>54039.0</v>
      </c>
      <c r="W69" s="36">
        <v>20227.0</v>
      </c>
      <c r="X69" s="36">
        <v>40250.0</v>
      </c>
      <c r="Y69" s="36">
        <v>332126.0</v>
      </c>
      <c r="Z69" s="36">
        <v>135106.0</v>
      </c>
      <c r="AA69" s="36">
        <v>276134.0</v>
      </c>
      <c r="AC69" s="55">
        <f>sum(Y69:AA77)</f>
        <v>7259934</v>
      </c>
    </row>
    <row r="70">
      <c r="A70" s="15"/>
      <c r="B70" s="16" t="s">
        <v>58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>
        <v>522966.0</v>
      </c>
      <c r="N70" s="36">
        <v>304624.0</v>
      </c>
      <c r="O70" s="36">
        <v>75429.0</v>
      </c>
      <c r="P70" s="36">
        <v>156705.0</v>
      </c>
      <c r="Q70" s="36">
        <v>259843.0</v>
      </c>
      <c r="R70" s="36">
        <v>408895.0</v>
      </c>
      <c r="S70" s="36">
        <v>283717.0</v>
      </c>
      <c r="T70" s="36">
        <v>169125.0</v>
      </c>
      <c r="U70" s="36">
        <v>318317.0</v>
      </c>
      <c r="V70" s="36">
        <v>383228.0</v>
      </c>
      <c r="W70" s="36">
        <v>406592.0</v>
      </c>
      <c r="X70" s="36">
        <v>419397.0</v>
      </c>
      <c r="Y70" s="36">
        <v>498432.0</v>
      </c>
      <c r="Z70" s="36">
        <f>3385+6205+18066+13000+140374+7186+19326+5184+9067+3590+922+8521+217754+23455+4009</f>
        <v>480044</v>
      </c>
      <c r="AA70" s="36">
        <v>276134.0</v>
      </c>
      <c r="AC70" s="55">
        <v>4151711.0</v>
      </c>
    </row>
    <row r="71">
      <c r="A71" s="15"/>
      <c r="B71" s="16" t="s">
        <v>59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>
        <v>60320.0</v>
      </c>
      <c r="N71" s="36">
        <v>357261.0</v>
      </c>
      <c r="O71" s="56">
        <v>176517.0</v>
      </c>
      <c r="P71" s="36">
        <v>102906.0</v>
      </c>
      <c r="Q71" s="36">
        <v>245968.0</v>
      </c>
      <c r="R71" s="36">
        <v>315728.0</v>
      </c>
      <c r="S71" s="36">
        <v>218636.0</v>
      </c>
      <c r="T71" s="36">
        <v>346359.0</v>
      </c>
      <c r="U71" s="36">
        <v>924088.0</v>
      </c>
      <c r="V71" s="36">
        <v>360096.0</v>
      </c>
      <c r="W71" s="36">
        <v>348498.0</v>
      </c>
      <c r="X71" s="36">
        <v>566363.0</v>
      </c>
      <c r="Y71" s="36">
        <v>373167.0</v>
      </c>
      <c r="Z71" s="36">
        <v>332320.0</v>
      </c>
      <c r="AA71" s="36">
        <v>276134.0</v>
      </c>
      <c r="AC71" s="37">
        <f>AC70/AC69</f>
        <v>0.5718662181</v>
      </c>
    </row>
    <row r="72" ht="20.25" customHeight="1">
      <c r="A72" s="15"/>
      <c r="B72" s="16" t="s">
        <v>60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>
        <v>136212.0</v>
      </c>
      <c r="N72" s="36">
        <v>93099.0</v>
      </c>
      <c r="O72" s="36">
        <v>22553.0</v>
      </c>
      <c r="P72" s="36">
        <v>1010670.0</v>
      </c>
      <c r="Q72" s="36">
        <v>314717.0</v>
      </c>
      <c r="R72" s="36">
        <v>341146.0</v>
      </c>
      <c r="S72" s="36">
        <v>506888.0</v>
      </c>
      <c r="T72" s="36">
        <v>350933.0</v>
      </c>
      <c r="U72" s="36">
        <v>125485.0</v>
      </c>
      <c r="V72" s="36">
        <v>480896.0</v>
      </c>
      <c r="W72" s="36">
        <v>328400.0</v>
      </c>
      <c r="X72" s="36">
        <v>251995.0</v>
      </c>
      <c r="Y72" s="36">
        <v>378677.0</v>
      </c>
      <c r="Z72" s="36">
        <v>262491.0</v>
      </c>
      <c r="AA72" s="36">
        <v>276134.0</v>
      </c>
    </row>
    <row r="73">
      <c r="A73" s="15"/>
      <c r="B73" s="16" t="s">
        <v>61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>
        <f t="shared" ref="M73:V73" si="25">sum(M134:M135)</f>
        <v>144936</v>
      </c>
      <c r="N73" s="36">
        <f t="shared" si="25"/>
        <v>79265</v>
      </c>
      <c r="O73" s="36">
        <f t="shared" si="25"/>
        <v>435502</v>
      </c>
      <c r="P73" s="36">
        <f t="shared" si="25"/>
        <v>255024</v>
      </c>
      <c r="Q73" s="36">
        <f t="shared" si="25"/>
        <v>137107</v>
      </c>
      <c r="R73" s="36">
        <f t="shared" si="25"/>
        <v>234543</v>
      </c>
      <c r="S73" s="36">
        <f t="shared" si="25"/>
        <v>367933</v>
      </c>
      <c r="T73" s="36">
        <f t="shared" si="25"/>
        <v>115932</v>
      </c>
      <c r="U73" s="36">
        <f t="shared" si="25"/>
        <v>256340</v>
      </c>
      <c r="V73" s="36">
        <f t="shared" si="25"/>
        <v>255090</v>
      </c>
      <c r="W73" s="36">
        <f>14500+2559+5433+6951+2839+8646+7360+17680+12551+6626+4140+26314</f>
        <v>115599</v>
      </c>
      <c r="X73" s="36">
        <f>9000+30770+100+12089+3651+1344+114+167+2994+1102+40000+242221</f>
        <v>343552</v>
      </c>
      <c r="Y73" s="36">
        <f>40000+6012+4835+7690+431+50960+2130+216711+210000+41000+10915+406693+39372+45000</f>
        <v>1081749</v>
      </c>
      <c r="Z73" s="36">
        <f>63607+21895+1166+79495+16573+41876+800+6806</f>
        <v>232218</v>
      </c>
      <c r="AA73" s="36">
        <v>276134.0</v>
      </c>
    </row>
    <row r="74">
      <c r="A74" s="15"/>
      <c r="B74" s="16" t="s">
        <v>62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>
        <v>311631.0</v>
      </c>
      <c r="N74" s="36">
        <v>322382.0</v>
      </c>
      <c r="O74" s="36">
        <v>140879.0</v>
      </c>
      <c r="P74" s="36">
        <v>136808.0</v>
      </c>
      <c r="Q74" s="36">
        <v>187451.0</v>
      </c>
      <c r="R74" s="36">
        <v>165919.0</v>
      </c>
      <c r="S74" s="36">
        <v>527731.0</v>
      </c>
      <c r="T74" s="36">
        <v>218220.0</v>
      </c>
      <c r="U74" s="36">
        <v>249626.0</v>
      </c>
      <c r="V74" s="36">
        <v>158706.0</v>
      </c>
      <c r="W74" s="57">
        <v>338578.0</v>
      </c>
      <c r="X74" s="57">
        <v>334197.0</v>
      </c>
      <c r="Y74" s="36">
        <v>312593.0</v>
      </c>
      <c r="Z74" s="58">
        <v>74063.0</v>
      </c>
      <c r="AA74" s="36">
        <v>276134.0</v>
      </c>
    </row>
    <row r="75">
      <c r="A75" s="15"/>
      <c r="B75" s="16" t="s">
        <v>63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>
        <v>118.0</v>
      </c>
      <c r="N75" s="36">
        <v>4121.0</v>
      </c>
      <c r="O75" s="36">
        <v>18881.0</v>
      </c>
      <c r="P75" s="36">
        <v>66031.0</v>
      </c>
      <c r="Q75" s="36">
        <v>215033.0</v>
      </c>
      <c r="R75" s="36">
        <v>9145.0</v>
      </c>
      <c r="S75" s="36">
        <v>155212.0</v>
      </c>
      <c r="T75" s="36">
        <v>5968.0</v>
      </c>
      <c r="U75" s="36">
        <v>6214.0</v>
      </c>
      <c r="V75" s="36">
        <v>62911.0</v>
      </c>
      <c r="W75" s="36">
        <v>18635.0</v>
      </c>
      <c r="X75" s="36">
        <v>112299.0</v>
      </c>
      <c r="Y75" s="36">
        <v>29777.0</v>
      </c>
      <c r="Z75" s="55">
        <v>99654.0</v>
      </c>
      <c r="AA75" s="36">
        <v>80455.0</v>
      </c>
    </row>
    <row r="76">
      <c r="A76" s="15"/>
      <c r="B76" s="16" t="s">
        <v>64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9"/>
      <c r="W76" s="39"/>
      <c r="X76" s="36">
        <v>19876.0</v>
      </c>
      <c r="Y76" s="36">
        <v>75876.0</v>
      </c>
      <c r="Z76" s="36">
        <v>119411.0</v>
      </c>
      <c r="AA76" s="36">
        <v>276134.0</v>
      </c>
    </row>
    <row r="77">
      <c r="B77" s="59" t="s">
        <v>65</v>
      </c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1"/>
      <c r="N77" s="61"/>
      <c r="O77" s="61"/>
      <c r="P77" s="61"/>
      <c r="Q77" s="61"/>
      <c r="R77" s="61"/>
      <c r="S77" s="61"/>
      <c r="T77" s="61"/>
      <c r="U77" s="61"/>
      <c r="V77" s="62"/>
      <c r="W77" s="40"/>
      <c r="X77" s="36"/>
      <c r="Y77" s="36">
        <v>97183.0</v>
      </c>
      <c r="Z77" s="36">
        <v>55520.0</v>
      </c>
      <c r="AA77" s="36">
        <v>276134.0</v>
      </c>
    </row>
    <row r="78">
      <c r="B78" s="63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1"/>
      <c r="N78" s="61"/>
      <c r="O78" s="61"/>
      <c r="P78" s="61"/>
      <c r="Q78" s="61"/>
      <c r="R78" s="61"/>
      <c r="S78" s="61"/>
      <c r="T78" s="61"/>
      <c r="U78" s="61"/>
      <c r="V78" s="62"/>
      <c r="W78" s="40"/>
      <c r="X78" s="36"/>
      <c r="Z78" s="36"/>
    </row>
    <row r="79">
      <c r="B79" s="63" t="s">
        <v>66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1"/>
      <c r="N79" s="61"/>
      <c r="O79" s="61"/>
      <c r="P79" s="61"/>
      <c r="Q79" s="61"/>
      <c r="R79" s="61"/>
      <c r="S79" s="61"/>
      <c r="T79" s="61"/>
      <c r="U79" s="61"/>
      <c r="V79" s="62"/>
      <c r="W79" s="40"/>
      <c r="X79" s="36"/>
      <c r="Z79" s="36"/>
    </row>
    <row r="80">
      <c r="B80" s="16" t="s">
        <v>67</v>
      </c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>
        <v>341978.0</v>
      </c>
      <c r="N80" s="36">
        <v>375052.93</v>
      </c>
      <c r="O80" s="36">
        <v>149700.0</v>
      </c>
      <c r="P80" s="36">
        <v>227156.0</v>
      </c>
      <c r="Q80" s="36">
        <v>94553.0</v>
      </c>
      <c r="R80" s="36">
        <v>77205.0</v>
      </c>
      <c r="S80" s="36">
        <v>592301.0</v>
      </c>
      <c r="T80" s="36">
        <v>4000.0</v>
      </c>
      <c r="U80" s="36">
        <v>0.0</v>
      </c>
      <c r="V80" s="36">
        <v>0.0</v>
      </c>
      <c r="W80" s="36">
        <v>6555.0</v>
      </c>
      <c r="X80" s="36">
        <v>2250667.0</v>
      </c>
      <c r="Y80" s="36">
        <v>33757.0</v>
      </c>
      <c r="Z80" s="36">
        <v>738038.0</v>
      </c>
      <c r="AA80" s="36">
        <v>44722.0</v>
      </c>
    </row>
    <row r="81">
      <c r="B81" s="16" t="s">
        <v>68</v>
      </c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>
        <v>1058109.0</v>
      </c>
      <c r="N81" s="36">
        <v>169751.0</v>
      </c>
      <c r="O81" s="36">
        <v>430168.0</v>
      </c>
      <c r="P81" s="36">
        <v>524520.0</v>
      </c>
      <c r="Q81" s="36">
        <v>473116.0</v>
      </c>
      <c r="R81" s="36">
        <v>286875.0</v>
      </c>
      <c r="S81" s="36">
        <v>675992.0</v>
      </c>
      <c r="T81" s="36">
        <v>91662.0</v>
      </c>
      <c r="U81" s="36">
        <v>174298.0</v>
      </c>
      <c r="V81" s="36">
        <v>16375.0</v>
      </c>
      <c r="W81" s="58">
        <v>483057.0</v>
      </c>
      <c r="X81" s="36">
        <v>579974.78</v>
      </c>
      <c r="Y81" s="36">
        <v>978556.0</v>
      </c>
      <c r="Z81" s="36">
        <v>586639.0</v>
      </c>
    </row>
    <row r="82">
      <c r="B82" s="16" t="s">
        <v>69</v>
      </c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>
        <v>59188.0</v>
      </c>
      <c r="N82" s="58">
        <v>186141.0</v>
      </c>
      <c r="O82" s="58">
        <v>127005.0</v>
      </c>
      <c r="P82" s="58">
        <v>391400.0</v>
      </c>
      <c r="Q82" s="58">
        <v>50454.0</v>
      </c>
      <c r="R82" s="58">
        <v>97532.0</v>
      </c>
      <c r="S82" s="58">
        <v>201538.0</v>
      </c>
      <c r="T82" s="58">
        <v>108276.0</v>
      </c>
      <c r="U82" s="58">
        <v>118695.0</v>
      </c>
      <c r="V82" s="58">
        <v>199506.0</v>
      </c>
      <c r="W82" s="36">
        <v>52825.0</v>
      </c>
      <c r="X82" s="36">
        <v>168394.0</v>
      </c>
      <c r="Y82" s="36">
        <v>76850.0</v>
      </c>
      <c r="Z82" s="36">
        <v>34035.0</v>
      </c>
      <c r="AA82" s="36">
        <v>232370.0</v>
      </c>
    </row>
    <row r="83">
      <c r="B83" s="16" t="s">
        <v>70</v>
      </c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>
        <v>0.0</v>
      </c>
      <c r="N83" s="58">
        <v>50219.0</v>
      </c>
      <c r="O83" s="58">
        <v>25220.0</v>
      </c>
      <c r="P83" s="58">
        <v>23427.0</v>
      </c>
      <c r="Q83" s="58">
        <v>24966.0</v>
      </c>
      <c r="R83" s="58">
        <v>12025.0</v>
      </c>
      <c r="S83" s="58">
        <v>511363.0</v>
      </c>
      <c r="T83" s="58">
        <v>120013.0</v>
      </c>
      <c r="U83" s="58">
        <v>20373.0</v>
      </c>
      <c r="V83" s="58">
        <v>103746.0</v>
      </c>
      <c r="W83" s="36">
        <v>130308.0</v>
      </c>
      <c r="X83" s="36">
        <v>49508.0</v>
      </c>
      <c r="Y83" s="36">
        <v>233596.0</v>
      </c>
      <c r="Z83" s="36">
        <v>77336.0</v>
      </c>
    </row>
    <row r="84">
      <c r="B84" s="1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64"/>
      <c r="W84" s="40"/>
      <c r="X84" s="40"/>
    </row>
    <row r="85">
      <c r="B85" s="48" t="s">
        <v>53</v>
      </c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64"/>
      <c r="W85" s="40"/>
      <c r="X85" s="40"/>
    </row>
    <row r="86">
      <c r="A86" s="65"/>
      <c r="B86" s="66" t="s">
        <v>71</v>
      </c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>
        <v>296172.95</v>
      </c>
      <c r="N86" s="36">
        <v>663026.74</v>
      </c>
      <c r="O86" s="36">
        <v>217688.27</v>
      </c>
      <c r="P86" s="36">
        <v>320731.3</v>
      </c>
      <c r="Q86" s="36">
        <v>305782.2</v>
      </c>
      <c r="R86" s="36">
        <v>185328.23</v>
      </c>
      <c r="S86" s="36">
        <v>145553.23</v>
      </c>
      <c r="T86" s="36">
        <v>565084.96</v>
      </c>
      <c r="U86" s="36">
        <v>207034.15</v>
      </c>
      <c r="V86" s="36">
        <v>293202.0</v>
      </c>
      <c r="W86" s="58">
        <v>151930.0</v>
      </c>
      <c r="X86" s="36">
        <v>271854.0</v>
      </c>
      <c r="Y86" s="36">
        <v>242476.0</v>
      </c>
      <c r="Z86" s="36">
        <v>115012.0</v>
      </c>
    </row>
    <row r="87">
      <c r="A87" s="65"/>
      <c r="B87" s="66" t="s">
        <v>72</v>
      </c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>
        <v>152939.39</v>
      </c>
      <c r="N87" s="36">
        <v>48249.15</v>
      </c>
      <c r="O87" s="36">
        <v>114163.5</v>
      </c>
      <c r="P87" s="36">
        <v>29917.25</v>
      </c>
      <c r="Q87" s="36">
        <v>61464.25</v>
      </c>
      <c r="R87" s="36">
        <v>160052.75</v>
      </c>
      <c r="S87" s="36">
        <v>59228.5</v>
      </c>
      <c r="T87" s="36">
        <v>97094.08</v>
      </c>
      <c r="U87" s="36">
        <v>116938.0</v>
      </c>
      <c r="V87" s="36">
        <v>38971.75</v>
      </c>
      <c r="W87" s="36">
        <v>103210.0</v>
      </c>
      <c r="X87" s="36">
        <v>118260.8</v>
      </c>
      <c r="Y87" s="36">
        <v>88721.25</v>
      </c>
      <c r="Z87" s="36">
        <v>220009.0</v>
      </c>
    </row>
    <row r="88">
      <c r="A88" s="65"/>
      <c r="B88" s="66" t="s">
        <v>73</v>
      </c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>
        <v>22934.0</v>
      </c>
      <c r="N88" s="36">
        <v>47549.0</v>
      </c>
      <c r="O88" s="36">
        <v>39910.0</v>
      </c>
      <c r="P88" s="36">
        <v>57487.0</v>
      </c>
      <c r="Q88" s="36">
        <v>81126.0</v>
      </c>
      <c r="R88" s="36">
        <v>69172.0</v>
      </c>
      <c r="S88" s="36">
        <v>110132.0</v>
      </c>
      <c r="T88" s="36">
        <v>76688.0</v>
      </c>
      <c r="U88" s="36">
        <v>164730.0</v>
      </c>
      <c r="V88" s="36">
        <v>38798.0</v>
      </c>
      <c r="W88" s="36">
        <v>66690.0</v>
      </c>
      <c r="X88" s="36">
        <v>121793.0</v>
      </c>
      <c r="Y88" s="36">
        <v>40158.0</v>
      </c>
      <c r="Z88" s="36">
        <v>51272.0</v>
      </c>
    </row>
    <row r="89">
      <c r="A89" s="65"/>
      <c r="B89" s="66" t="s">
        <v>74</v>
      </c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>
        <v>19833.0</v>
      </c>
      <c r="N89" s="36">
        <v>31217.0</v>
      </c>
      <c r="O89" s="36">
        <v>2537.0</v>
      </c>
      <c r="P89" s="36">
        <v>19670.0</v>
      </c>
      <c r="Q89" s="36">
        <v>52855.0</v>
      </c>
      <c r="R89" s="36">
        <v>24707.0</v>
      </c>
      <c r="S89" s="36">
        <v>64851.0</v>
      </c>
      <c r="T89" s="36">
        <v>74792.0</v>
      </c>
      <c r="U89" s="36">
        <v>30555.0</v>
      </c>
      <c r="V89" s="36">
        <v>36805.0</v>
      </c>
      <c r="W89" s="36">
        <v>39905.0</v>
      </c>
      <c r="X89" s="36">
        <v>36968.0</v>
      </c>
      <c r="Y89" s="36">
        <v>36038.25</v>
      </c>
      <c r="Z89" s="36">
        <v>39756.25</v>
      </c>
    </row>
    <row r="90">
      <c r="A90" s="65"/>
      <c r="B90" s="4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9"/>
      <c r="W90" s="39"/>
      <c r="X90" s="39"/>
    </row>
    <row r="91">
      <c r="B91" s="49" t="s">
        <v>54</v>
      </c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0"/>
      <c r="W91" s="40"/>
      <c r="X91" s="40"/>
    </row>
    <row r="92">
      <c r="B92" s="12" t="s">
        <v>60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>
        <f>244692/45</f>
        <v>5437.6</v>
      </c>
      <c r="N92" s="36">
        <f>508456/45</f>
        <v>11299.02222</v>
      </c>
      <c r="O92" s="36">
        <f>424408/45</f>
        <v>9431.288889</v>
      </c>
      <c r="P92" s="36">
        <f>537113/45</f>
        <v>11935.84444</v>
      </c>
      <c r="Q92" s="36">
        <f>520113/45</f>
        <v>11558.06667</v>
      </c>
      <c r="R92" s="36">
        <f>263599/45</f>
        <v>5857.755556</v>
      </c>
      <c r="S92" s="36">
        <f>710706/45</f>
        <v>15793.46667</v>
      </c>
      <c r="T92" s="36">
        <f>314623/45</f>
        <v>6991.622222</v>
      </c>
      <c r="U92" s="36">
        <f>389903/45</f>
        <v>8664.511111</v>
      </c>
      <c r="V92" s="36">
        <f>543876/45</f>
        <v>12086.13333</v>
      </c>
      <c r="W92" s="36">
        <v>10320.0</v>
      </c>
      <c r="X92" s="36">
        <v>62043.0</v>
      </c>
      <c r="Y92" s="67">
        <v>26.986</v>
      </c>
      <c r="Z92" s="36">
        <v>24868.0</v>
      </c>
      <c r="AA92" s="36">
        <v>35247.0</v>
      </c>
    </row>
    <row r="93">
      <c r="A93" s="68"/>
      <c r="B93" s="68"/>
      <c r="C93" s="40"/>
      <c r="D93" s="40"/>
      <c r="E93" s="40"/>
      <c r="F93" s="40"/>
      <c r="G93" s="40"/>
      <c r="H93" s="40"/>
      <c r="I93" s="40"/>
      <c r="J93" s="62"/>
      <c r="K93" s="62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36"/>
      <c r="X93" s="40"/>
    </row>
    <row r="94">
      <c r="A94" s="54" t="s">
        <v>75</v>
      </c>
      <c r="B94" s="31" t="s">
        <v>76</v>
      </c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36"/>
      <c r="X94" s="40"/>
    </row>
    <row r="95">
      <c r="A95" s="68"/>
      <c r="B95" s="16" t="s">
        <v>57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>
        <v>5.0</v>
      </c>
      <c r="N95" s="35">
        <v>8.0</v>
      </c>
      <c r="O95" s="35">
        <v>7.0</v>
      </c>
      <c r="P95" s="35">
        <v>6.0</v>
      </c>
      <c r="Q95" s="35">
        <v>13.0</v>
      </c>
      <c r="R95" s="35">
        <v>4.0</v>
      </c>
      <c r="S95" s="35">
        <v>7.0</v>
      </c>
      <c r="T95" s="35">
        <v>7.0</v>
      </c>
      <c r="U95" s="35">
        <v>10.0</v>
      </c>
      <c r="V95" s="35">
        <v>3.0</v>
      </c>
      <c r="W95" s="35">
        <v>3.0</v>
      </c>
      <c r="X95" s="35">
        <v>4.0</v>
      </c>
      <c r="Y95" s="12">
        <v>6.0</v>
      </c>
      <c r="Z95" s="12">
        <v>7.0</v>
      </c>
    </row>
    <row r="96">
      <c r="A96" s="68"/>
      <c r="B96" s="16" t="s">
        <v>58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>
        <v>20.0</v>
      </c>
      <c r="N96" s="35">
        <v>17.0</v>
      </c>
      <c r="O96" s="35">
        <v>11.0</v>
      </c>
      <c r="P96" s="35">
        <v>6.0</v>
      </c>
      <c r="Q96" s="35">
        <v>11.0</v>
      </c>
      <c r="R96" s="35">
        <v>12.0</v>
      </c>
      <c r="S96" s="35">
        <v>8.0</v>
      </c>
      <c r="T96" s="35">
        <v>13.0</v>
      </c>
      <c r="U96" s="35">
        <v>12.0</v>
      </c>
      <c r="V96" s="35">
        <v>8.0</v>
      </c>
      <c r="W96" s="35">
        <v>11.0</v>
      </c>
      <c r="X96" s="35">
        <v>6.0</v>
      </c>
      <c r="Y96" s="35">
        <v>12.0</v>
      </c>
      <c r="Z96" s="35">
        <v>15.0</v>
      </c>
    </row>
    <row r="97">
      <c r="A97" s="68"/>
      <c r="B97" s="16" t="s">
        <v>59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>
        <v>3.0</v>
      </c>
      <c r="N97" s="35">
        <v>10.0</v>
      </c>
      <c r="O97" s="35">
        <v>9.0</v>
      </c>
      <c r="P97" s="35">
        <v>7.0</v>
      </c>
      <c r="Q97" s="35">
        <v>11.0</v>
      </c>
      <c r="R97" s="35">
        <v>9.0</v>
      </c>
      <c r="S97" s="35">
        <v>16.0</v>
      </c>
      <c r="T97" s="35">
        <v>13.0</v>
      </c>
      <c r="U97" s="35">
        <v>0.0</v>
      </c>
      <c r="V97" s="35">
        <v>17.0</v>
      </c>
      <c r="W97" s="35">
        <v>20.0</v>
      </c>
      <c r="X97" s="35">
        <v>24.0</v>
      </c>
      <c r="Y97" s="35">
        <v>19.0</v>
      </c>
      <c r="Z97" s="35">
        <v>16.0</v>
      </c>
    </row>
    <row r="98">
      <c r="A98" s="68"/>
      <c r="B98" s="16" t="s">
        <v>60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>
        <v>9.0</v>
      </c>
      <c r="N98" s="35">
        <v>5.0</v>
      </c>
      <c r="O98" s="35">
        <v>3.0</v>
      </c>
      <c r="P98" s="35">
        <v>7.0</v>
      </c>
      <c r="Q98" s="35">
        <v>8.0</v>
      </c>
      <c r="R98" s="35">
        <v>4.0</v>
      </c>
      <c r="S98" s="35">
        <v>4.0</v>
      </c>
      <c r="T98" s="35">
        <v>5.0</v>
      </c>
      <c r="U98" s="35">
        <v>5.0</v>
      </c>
      <c r="V98" s="35">
        <v>8.0</v>
      </c>
      <c r="W98" s="35">
        <v>3.0</v>
      </c>
      <c r="X98" s="35">
        <v>9.0</v>
      </c>
      <c r="Y98" s="35">
        <v>9.0</v>
      </c>
      <c r="Z98" s="12">
        <v>8.0</v>
      </c>
    </row>
    <row r="99">
      <c r="A99" s="68"/>
      <c r="B99" s="16" t="s">
        <v>61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>
        <f t="shared" ref="M99:V99" si="26">sum(M248:M249)</f>
        <v>7</v>
      </c>
      <c r="N99" s="35">
        <f t="shared" si="26"/>
        <v>8</v>
      </c>
      <c r="O99" s="35">
        <f t="shared" si="26"/>
        <v>16</v>
      </c>
      <c r="P99" s="35">
        <f t="shared" si="26"/>
        <v>10</v>
      </c>
      <c r="Q99" s="35">
        <f t="shared" si="26"/>
        <v>12</v>
      </c>
      <c r="R99" s="35">
        <f t="shared" si="26"/>
        <v>13</v>
      </c>
      <c r="S99" s="35">
        <f t="shared" si="26"/>
        <v>8</v>
      </c>
      <c r="T99" s="35">
        <f t="shared" si="26"/>
        <v>9</v>
      </c>
      <c r="U99" s="35">
        <f t="shared" si="26"/>
        <v>17</v>
      </c>
      <c r="V99" s="35">
        <f t="shared" si="26"/>
        <v>15</v>
      </c>
      <c r="W99" s="35">
        <v>12.0</v>
      </c>
      <c r="X99" s="35">
        <v>0.0</v>
      </c>
      <c r="Y99" s="35">
        <f>11</f>
        <v>11</v>
      </c>
      <c r="Z99" s="69"/>
    </row>
    <row r="100">
      <c r="A100" s="68"/>
      <c r="B100" s="16" t="s">
        <v>62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>
        <v>11.0</v>
      </c>
      <c r="N100" s="35">
        <v>8.0</v>
      </c>
      <c r="O100" s="35">
        <v>12.0</v>
      </c>
      <c r="P100" s="35">
        <v>7.0</v>
      </c>
      <c r="Q100" s="35">
        <v>13.0</v>
      </c>
      <c r="R100" s="35">
        <v>9.0</v>
      </c>
      <c r="S100" s="35">
        <v>15.0</v>
      </c>
      <c r="T100" s="35">
        <v>16.0</v>
      </c>
      <c r="U100" s="35">
        <v>17.0</v>
      </c>
      <c r="V100" s="35">
        <v>11.0</v>
      </c>
      <c r="W100" s="35">
        <v>14.0</v>
      </c>
      <c r="X100" s="35">
        <v>15.0</v>
      </c>
      <c r="Y100" s="70">
        <v>19.0</v>
      </c>
      <c r="Z100" s="70">
        <v>8.0</v>
      </c>
    </row>
    <row r="101">
      <c r="A101" s="68"/>
      <c r="B101" s="16" t="s">
        <v>63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>
        <v>1.0</v>
      </c>
      <c r="N101" s="35">
        <v>7.0</v>
      </c>
      <c r="O101" s="35">
        <v>13.0</v>
      </c>
      <c r="P101" s="35">
        <v>24.0</v>
      </c>
      <c r="Q101" s="35">
        <v>54.0</v>
      </c>
      <c r="R101" s="35">
        <v>6.0</v>
      </c>
      <c r="S101" s="35">
        <v>31.0</v>
      </c>
      <c r="T101" s="35">
        <v>2.0</v>
      </c>
      <c r="U101" s="35">
        <v>2.0</v>
      </c>
      <c r="V101" s="35">
        <v>8.0</v>
      </c>
      <c r="W101" s="35">
        <v>10.0</v>
      </c>
      <c r="X101" s="35">
        <v>29.0</v>
      </c>
      <c r="Y101" s="12">
        <v>18.0</v>
      </c>
      <c r="Z101" s="71">
        <v>22.0</v>
      </c>
      <c r="AA101" s="12">
        <v>23.0</v>
      </c>
    </row>
    <row r="102">
      <c r="A102" s="68"/>
      <c r="B102" s="16" t="s">
        <v>64</v>
      </c>
      <c r="C102" s="40"/>
      <c r="D102" s="40"/>
      <c r="E102" s="40"/>
      <c r="F102" s="40"/>
      <c r="G102" s="40"/>
      <c r="H102" s="40"/>
      <c r="I102" s="40"/>
      <c r="J102" s="40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>
        <v>4.0</v>
      </c>
      <c r="Y102" s="35">
        <v>2.0</v>
      </c>
      <c r="Z102" s="12">
        <v>3.0</v>
      </c>
    </row>
    <row r="103">
      <c r="A103" s="68"/>
      <c r="B103" s="16" t="s">
        <v>65</v>
      </c>
      <c r="C103" s="40"/>
      <c r="D103" s="40"/>
      <c r="E103" s="40"/>
      <c r="F103" s="40"/>
      <c r="G103" s="40"/>
      <c r="H103" s="40"/>
      <c r="I103" s="40"/>
      <c r="J103" s="40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>
        <v>15.0</v>
      </c>
      <c r="Z103" s="35">
        <v>9.0</v>
      </c>
    </row>
    <row r="104">
      <c r="A104" s="68"/>
      <c r="B104" s="17"/>
      <c r="C104" s="40"/>
      <c r="D104" s="40"/>
      <c r="E104" s="40"/>
      <c r="F104" s="40"/>
      <c r="G104" s="40"/>
      <c r="H104" s="40"/>
      <c r="I104" s="40"/>
      <c r="J104" s="40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</row>
    <row r="105">
      <c r="A105" s="68"/>
      <c r="B105" s="42" t="s">
        <v>66</v>
      </c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</row>
    <row r="106">
      <c r="A106" s="68"/>
      <c r="B106" s="16" t="s">
        <v>67</v>
      </c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>
        <v>5.0</v>
      </c>
      <c r="N106" s="35">
        <v>3.0</v>
      </c>
      <c r="O106" s="35">
        <v>2.0</v>
      </c>
      <c r="P106" s="35">
        <v>5.0</v>
      </c>
      <c r="Q106" s="35">
        <v>3.0</v>
      </c>
      <c r="R106" s="35">
        <v>4.0</v>
      </c>
      <c r="S106" s="35">
        <v>3.0</v>
      </c>
      <c r="T106" s="35">
        <v>1.0</v>
      </c>
      <c r="U106" s="35">
        <v>0.0</v>
      </c>
      <c r="V106" s="72">
        <v>0.0</v>
      </c>
      <c r="W106" s="72">
        <v>2.0</v>
      </c>
      <c r="X106" s="35">
        <v>4.0</v>
      </c>
      <c r="Y106" s="12">
        <v>3.0</v>
      </c>
      <c r="Z106" s="35">
        <v>2.0</v>
      </c>
      <c r="AA106" s="12">
        <v>3.0</v>
      </c>
    </row>
    <row r="107">
      <c r="A107" s="68"/>
      <c r="B107" s="16" t="s">
        <v>68</v>
      </c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>
        <v>9.0</v>
      </c>
      <c r="N107" s="35">
        <v>5.0</v>
      </c>
      <c r="O107" s="35">
        <v>11.0</v>
      </c>
      <c r="P107" s="35">
        <v>12.0</v>
      </c>
      <c r="Q107" s="35">
        <v>10.0</v>
      </c>
      <c r="R107" s="35">
        <v>7.0</v>
      </c>
      <c r="S107" s="35">
        <v>6.0</v>
      </c>
      <c r="T107" s="35">
        <v>4.0</v>
      </c>
      <c r="U107" s="35">
        <v>4.0</v>
      </c>
      <c r="V107" s="35">
        <v>4.0</v>
      </c>
      <c r="W107" s="73">
        <v>9.0</v>
      </c>
      <c r="X107" s="35">
        <v>8.0</v>
      </c>
      <c r="Y107" s="12">
        <v>11.0</v>
      </c>
      <c r="Z107" s="35">
        <v>8.0</v>
      </c>
    </row>
    <row r="108">
      <c r="A108" s="68"/>
      <c r="B108" s="16" t="s">
        <v>69</v>
      </c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>
        <v>8.0</v>
      </c>
      <c r="N108" s="35">
        <v>6.0</v>
      </c>
      <c r="O108" s="35">
        <v>6.0</v>
      </c>
      <c r="P108" s="35">
        <v>6.0</v>
      </c>
      <c r="Q108" s="35">
        <v>7.0</v>
      </c>
      <c r="R108" s="35">
        <v>3.0</v>
      </c>
      <c r="S108" s="35">
        <v>6.0</v>
      </c>
      <c r="T108" s="35">
        <v>5.0</v>
      </c>
      <c r="U108" s="35">
        <v>5.0</v>
      </c>
      <c r="V108" s="35">
        <v>7.0</v>
      </c>
      <c r="W108" s="72">
        <v>3.0</v>
      </c>
      <c r="X108" s="35">
        <v>8.0</v>
      </c>
      <c r="Y108" s="12">
        <v>7.0</v>
      </c>
      <c r="Z108" s="12">
        <v>4.0</v>
      </c>
      <c r="AA108" s="12">
        <v>9.0</v>
      </c>
    </row>
    <row r="109">
      <c r="A109" s="68"/>
      <c r="B109" s="16" t="s">
        <v>70</v>
      </c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>
        <v>4.0</v>
      </c>
      <c r="O109" s="35">
        <v>5.0</v>
      </c>
      <c r="P109" s="35"/>
      <c r="Q109" s="35">
        <v>4.0</v>
      </c>
      <c r="R109" s="35">
        <v>3.0</v>
      </c>
      <c r="S109" s="35">
        <v>13.0</v>
      </c>
      <c r="T109" s="35">
        <v>5.0</v>
      </c>
      <c r="U109" s="35">
        <v>6.0</v>
      </c>
      <c r="V109" s="35">
        <v>7.0</v>
      </c>
      <c r="W109" s="72">
        <v>9.0</v>
      </c>
      <c r="X109" s="35">
        <v>7.0</v>
      </c>
      <c r="Y109" s="12">
        <v>8.0</v>
      </c>
      <c r="Z109" s="12">
        <v>7.0</v>
      </c>
    </row>
    <row r="110">
      <c r="A110" s="68"/>
      <c r="B110" s="16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Z110" s="35"/>
    </row>
    <row r="111">
      <c r="A111" s="68"/>
      <c r="B111" s="48" t="s">
        <v>53</v>
      </c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Z111" s="35"/>
    </row>
    <row r="112">
      <c r="A112" s="68"/>
      <c r="B112" s="66" t="s">
        <v>71</v>
      </c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>
        <v>36.0</v>
      </c>
      <c r="N112" s="35">
        <v>24.0</v>
      </c>
      <c r="O112" s="35">
        <v>39.0</v>
      </c>
      <c r="P112" s="35">
        <v>25.0</v>
      </c>
      <c r="Q112" s="35">
        <v>25.0</v>
      </c>
      <c r="R112" s="35">
        <v>24.0</v>
      </c>
      <c r="S112" s="35">
        <v>16.0</v>
      </c>
      <c r="T112" s="35">
        <v>34.0</v>
      </c>
      <c r="U112" s="35">
        <v>28.0</v>
      </c>
      <c r="V112" s="35">
        <v>24.0</v>
      </c>
      <c r="W112" s="35">
        <v>18.0</v>
      </c>
      <c r="X112" s="35">
        <v>31.0</v>
      </c>
      <c r="Y112" s="12">
        <v>29.0</v>
      </c>
      <c r="Z112" s="35">
        <v>17.0</v>
      </c>
    </row>
    <row r="113">
      <c r="A113" s="68"/>
      <c r="B113" s="66" t="s">
        <v>72</v>
      </c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>
        <v>11.0</v>
      </c>
      <c r="N113" s="35">
        <v>7.0</v>
      </c>
      <c r="O113" s="35">
        <v>16.0</v>
      </c>
      <c r="P113" s="35">
        <v>10.0</v>
      </c>
      <c r="Q113" s="35">
        <v>10.0</v>
      </c>
      <c r="R113" s="35">
        <v>12.0</v>
      </c>
      <c r="S113" s="35">
        <v>11.0</v>
      </c>
      <c r="T113" s="35">
        <v>11.0</v>
      </c>
      <c r="U113" s="35">
        <v>18.0</v>
      </c>
      <c r="V113" s="35">
        <v>7.0</v>
      </c>
      <c r="W113" s="35">
        <v>12.0</v>
      </c>
      <c r="X113" s="35">
        <v>14.0</v>
      </c>
      <c r="Y113" s="12">
        <v>10.0</v>
      </c>
      <c r="Z113" s="35">
        <v>18.0</v>
      </c>
    </row>
    <row r="114">
      <c r="A114" s="68"/>
      <c r="B114" s="66" t="s">
        <v>73</v>
      </c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>
        <v>6.0</v>
      </c>
      <c r="N114" s="35">
        <v>10.0</v>
      </c>
      <c r="O114" s="35">
        <v>11.0</v>
      </c>
      <c r="P114" s="35">
        <v>12.0</v>
      </c>
      <c r="Q114" s="35">
        <v>22.0</v>
      </c>
      <c r="R114" s="35">
        <v>18.0</v>
      </c>
      <c r="S114" s="35">
        <v>17.0</v>
      </c>
      <c r="T114" s="35">
        <v>9.0</v>
      </c>
      <c r="U114" s="35">
        <v>17.0</v>
      </c>
      <c r="V114" s="35">
        <v>10.0</v>
      </c>
      <c r="W114" s="35">
        <v>11.0</v>
      </c>
      <c r="X114" s="35">
        <v>25.0</v>
      </c>
      <c r="Y114" s="35">
        <v>9.0</v>
      </c>
      <c r="Z114" s="35">
        <v>7.0</v>
      </c>
    </row>
    <row r="115">
      <c r="A115" s="68"/>
      <c r="B115" s="66" t="s">
        <v>74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>
        <v>8.0</v>
      </c>
      <c r="N115" s="35">
        <v>5.0</v>
      </c>
      <c r="O115" s="35">
        <v>1.0</v>
      </c>
      <c r="P115" s="35">
        <v>9.0</v>
      </c>
      <c r="Q115" s="35">
        <v>14.0</v>
      </c>
      <c r="R115" s="35">
        <v>10.0</v>
      </c>
      <c r="S115" s="35">
        <v>6.0</v>
      </c>
      <c r="T115" s="35">
        <v>7.0</v>
      </c>
      <c r="U115" s="35">
        <v>8.0</v>
      </c>
      <c r="V115" s="35">
        <v>17.0</v>
      </c>
      <c r="W115" s="35">
        <v>5.0</v>
      </c>
      <c r="X115" s="35">
        <v>9.0</v>
      </c>
      <c r="Y115" s="12">
        <v>12.0</v>
      </c>
      <c r="Z115" s="12">
        <v>16.0</v>
      </c>
    </row>
    <row r="116">
      <c r="A116" s="68"/>
      <c r="B116" s="4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Z116" s="12"/>
    </row>
    <row r="117">
      <c r="A117" s="68"/>
      <c r="B117" s="49" t="s">
        <v>54</v>
      </c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Z117" s="12"/>
    </row>
    <row r="118">
      <c r="A118" s="68"/>
      <c r="B118" s="12" t="s">
        <v>60</v>
      </c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>
        <v>19.0</v>
      </c>
      <c r="N118" s="35">
        <v>27.0</v>
      </c>
      <c r="O118" s="35">
        <v>26.0</v>
      </c>
      <c r="P118" s="35">
        <v>25.0</v>
      </c>
      <c r="Q118" s="35">
        <v>20.0</v>
      </c>
      <c r="R118" s="35">
        <v>15.0</v>
      </c>
      <c r="S118" s="35">
        <v>24.0</v>
      </c>
      <c r="T118" s="35">
        <v>18.0</v>
      </c>
      <c r="U118" s="35">
        <v>17.0</v>
      </c>
      <c r="V118" s="35">
        <v>29.0</v>
      </c>
      <c r="W118" s="35">
        <v>28.0</v>
      </c>
      <c r="X118" s="35">
        <v>90.0</v>
      </c>
      <c r="Y118" s="12">
        <v>85.0</v>
      </c>
      <c r="Z118" s="12">
        <v>73.0</v>
      </c>
    </row>
    <row r="119">
      <c r="A119" s="68"/>
      <c r="B119" s="68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</row>
    <row r="120">
      <c r="A120" s="54" t="s">
        <v>77</v>
      </c>
      <c r="B120" s="31" t="s">
        <v>78</v>
      </c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</row>
    <row r="121">
      <c r="A121" s="68"/>
      <c r="B121" s="16" t="s">
        <v>57</v>
      </c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</row>
    <row r="122">
      <c r="A122" s="66" t="s">
        <v>79</v>
      </c>
      <c r="B122" s="1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>
        <v>125389.0</v>
      </c>
      <c r="N122" s="36">
        <v>0.0</v>
      </c>
      <c r="O122" s="36">
        <v>224776.0</v>
      </c>
      <c r="P122" s="36">
        <v>120973.0</v>
      </c>
      <c r="Q122" s="36">
        <v>184428.0</v>
      </c>
      <c r="R122" s="36">
        <v>6324.0</v>
      </c>
      <c r="S122" s="36">
        <v>102226.0</v>
      </c>
      <c r="T122" s="36">
        <v>0.0</v>
      </c>
      <c r="U122" s="36">
        <v>70871.0</v>
      </c>
      <c r="V122" s="36">
        <v>33603.0</v>
      </c>
      <c r="W122" s="36">
        <v>21890.0</v>
      </c>
      <c r="X122" s="36">
        <v>15454.0</v>
      </c>
      <c r="Y122" s="36">
        <v>24900.0</v>
      </c>
      <c r="Z122" s="36">
        <v>75223.0</v>
      </c>
    </row>
    <row r="123">
      <c r="A123" s="66" t="s">
        <v>80</v>
      </c>
      <c r="B123" s="1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>
        <v>112167.0</v>
      </c>
      <c r="N123" s="36">
        <v>347957.0</v>
      </c>
      <c r="O123" s="36">
        <v>95744.0</v>
      </c>
      <c r="P123" s="36">
        <v>19285.0</v>
      </c>
      <c r="Q123" s="36">
        <v>262673.0</v>
      </c>
      <c r="R123" s="36">
        <v>3632.0</v>
      </c>
      <c r="S123" s="36">
        <v>41621.0</v>
      </c>
      <c r="T123" s="36">
        <v>173044.0</v>
      </c>
      <c r="U123" s="36">
        <v>28224.0</v>
      </c>
      <c r="V123" s="36">
        <v>20436.0</v>
      </c>
      <c r="W123" s="36">
        <v>8337.0</v>
      </c>
      <c r="X123" s="36">
        <v>24796.0</v>
      </c>
      <c r="Y123" s="36">
        <v>307217.0</v>
      </c>
      <c r="Z123" s="36">
        <v>59883.0</v>
      </c>
    </row>
    <row r="124">
      <c r="A124" s="66"/>
      <c r="B124" s="16" t="s">
        <v>58</v>
      </c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64"/>
      <c r="O124" s="64"/>
      <c r="P124" s="64"/>
      <c r="Q124" s="64"/>
      <c r="R124" s="64"/>
      <c r="S124" s="64"/>
      <c r="T124" s="64"/>
      <c r="U124" s="64"/>
      <c r="V124" s="64"/>
      <c r="W124" s="36"/>
      <c r="X124" s="40"/>
    </row>
    <row r="125">
      <c r="A125" s="66" t="s">
        <v>79</v>
      </c>
      <c r="B125" s="1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>
        <v>122857.0</v>
      </c>
      <c r="N125" s="36">
        <v>96975.0</v>
      </c>
      <c r="O125" s="36">
        <v>31188.0</v>
      </c>
      <c r="P125" s="36">
        <v>4760.0</v>
      </c>
      <c r="Q125" s="36">
        <v>154316.0</v>
      </c>
      <c r="R125" s="36">
        <v>69046.0</v>
      </c>
      <c r="S125" s="36">
        <v>5790.0</v>
      </c>
      <c r="T125" s="36">
        <v>46697.0</v>
      </c>
      <c r="U125" s="36">
        <v>18747.0</v>
      </c>
      <c r="V125" s="36">
        <v>70106.0</v>
      </c>
      <c r="W125" s="36">
        <v>26248.0</v>
      </c>
      <c r="X125" s="36">
        <v>1537.0</v>
      </c>
      <c r="Y125" s="36">
        <v>83456.0</v>
      </c>
      <c r="Z125" s="36">
        <f>5184+9067+3590+922+8521+217754+23455+4009</f>
        <v>272502</v>
      </c>
    </row>
    <row r="126">
      <c r="A126" s="66" t="s">
        <v>80</v>
      </c>
      <c r="B126" s="1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>
        <v>399851.0</v>
      </c>
      <c r="N126" s="36">
        <v>207649.0</v>
      </c>
      <c r="O126" s="36">
        <v>60250.0</v>
      </c>
      <c r="P126" s="36">
        <v>151945.0</v>
      </c>
      <c r="Q126" s="36">
        <v>105527.0</v>
      </c>
      <c r="R126" s="36">
        <v>302659.0</v>
      </c>
      <c r="S126" s="36">
        <v>263868.0</v>
      </c>
      <c r="T126" s="36">
        <v>122428.0</v>
      </c>
      <c r="U126" s="36">
        <v>293332.0</v>
      </c>
      <c r="V126" s="36">
        <v>313122.0</v>
      </c>
      <c r="W126" s="36">
        <v>378354.0</v>
      </c>
      <c r="X126" s="36">
        <v>417860.0</v>
      </c>
      <c r="Y126" s="36">
        <v>414976.0</v>
      </c>
      <c r="Z126" s="36">
        <f>3385+6205+18066+13000+140374+7186+19326</f>
        <v>207542</v>
      </c>
    </row>
    <row r="127">
      <c r="A127" s="66"/>
      <c r="B127" s="16" t="s">
        <v>59</v>
      </c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64"/>
      <c r="O127" s="64"/>
      <c r="P127" s="64"/>
      <c r="Q127" s="64"/>
      <c r="R127" s="64"/>
      <c r="S127" s="64"/>
      <c r="T127" s="64"/>
      <c r="U127" s="64"/>
      <c r="V127" s="64"/>
      <c r="W127" s="36"/>
      <c r="X127" s="40"/>
    </row>
    <row r="128">
      <c r="A128" s="66" t="s">
        <v>79</v>
      </c>
      <c r="B128" s="1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>
        <v>44392.0</v>
      </c>
      <c r="N128" s="36">
        <v>100495.0</v>
      </c>
      <c r="O128" s="36">
        <v>50351.0</v>
      </c>
      <c r="P128" s="36">
        <v>23510.0</v>
      </c>
      <c r="Q128" s="36">
        <v>54468.0</v>
      </c>
      <c r="R128" s="36">
        <v>5336.0</v>
      </c>
      <c r="S128" s="36">
        <v>32051.0</v>
      </c>
      <c r="T128" s="36">
        <v>37519.0</v>
      </c>
      <c r="U128" s="36">
        <v>386560.0</v>
      </c>
      <c r="V128" s="36">
        <v>169224.0</v>
      </c>
      <c r="W128" s="36">
        <v>85622.0</v>
      </c>
      <c r="X128" s="36">
        <v>140410.0</v>
      </c>
      <c r="Y128" s="36">
        <v>132719.0</v>
      </c>
      <c r="Z128" s="36">
        <v>13367.0</v>
      </c>
    </row>
    <row r="129">
      <c r="A129" s="66" t="s">
        <v>80</v>
      </c>
      <c r="B129" s="1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>
        <v>15928.0</v>
      </c>
      <c r="N129" s="36">
        <v>256766.0</v>
      </c>
      <c r="O129" s="36">
        <v>126166.0</v>
      </c>
      <c r="P129" s="36">
        <v>79396.0</v>
      </c>
      <c r="Q129" s="36">
        <v>191500.0</v>
      </c>
      <c r="R129" s="36">
        <v>310392.0</v>
      </c>
      <c r="S129" s="36">
        <v>186585.0</v>
      </c>
      <c r="T129" s="36">
        <v>308840.0</v>
      </c>
      <c r="U129" s="36">
        <v>537528.0</v>
      </c>
      <c r="V129" s="36">
        <v>190872.0</v>
      </c>
      <c r="W129" s="36">
        <v>262876.0</v>
      </c>
      <c r="X129" s="36">
        <v>425953.0</v>
      </c>
      <c r="Y129" s="36">
        <v>240448.0</v>
      </c>
      <c r="Z129" s="36">
        <v>318953.0</v>
      </c>
    </row>
    <row r="130">
      <c r="A130" s="66"/>
      <c r="B130" s="16" t="s">
        <v>60</v>
      </c>
      <c r="N130" s="64"/>
      <c r="O130" s="64"/>
      <c r="P130" s="64"/>
      <c r="Q130" s="64"/>
      <c r="R130" s="64"/>
      <c r="S130" s="64"/>
      <c r="T130" s="64"/>
      <c r="U130" s="64"/>
      <c r="V130" s="64"/>
      <c r="W130" s="36"/>
      <c r="X130" s="40"/>
    </row>
    <row r="131">
      <c r="A131" s="66" t="s">
        <v>79</v>
      </c>
      <c r="B131" s="1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>
        <v>45006.0</v>
      </c>
      <c r="N131" s="36">
        <v>11013.0</v>
      </c>
      <c r="O131" s="36">
        <v>0.0</v>
      </c>
      <c r="P131" s="36">
        <v>32583.0</v>
      </c>
      <c r="Q131" s="36">
        <v>7494.0</v>
      </c>
      <c r="R131" s="36">
        <v>149921.0</v>
      </c>
      <c r="S131" s="36">
        <v>3210.0</v>
      </c>
      <c r="T131" s="36">
        <v>139041.0</v>
      </c>
      <c r="U131" s="36">
        <v>0.0</v>
      </c>
      <c r="V131" s="36">
        <v>24333.0</v>
      </c>
      <c r="W131" s="36">
        <v>4278.0</v>
      </c>
      <c r="X131" s="36">
        <v>8770.0</v>
      </c>
      <c r="Y131" s="36">
        <v>25048.0</v>
      </c>
      <c r="Z131" s="36">
        <v>26192.0</v>
      </c>
    </row>
    <row r="132">
      <c r="A132" s="66" t="s">
        <v>80</v>
      </c>
      <c r="B132" s="1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>
        <v>91207.0</v>
      </c>
      <c r="N132" s="36">
        <v>82086.0</v>
      </c>
      <c r="O132" s="36">
        <v>22553.0</v>
      </c>
      <c r="P132" s="36">
        <v>978087.0</v>
      </c>
      <c r="Q132" s="36">
        <v>307973.0</v>
      </c>
      <c r="R132" s="36">
        <v>191225.0</v>
      </c>
      <c r="S132" s="36">
        <v>503678.0</v>
      </c>
      <c r="T132" s="36">
        <v>211892.0</v>
      </c>
      <c r="U132" s="36">
        <v>125485.0</v>
      </c>
      <c r="V132" s="36">
        <v>456563.0</v>
      </c>
      <c r="W132" s="36">
        <v>324122.0</v>
      </c>
      <c r="X132" s="36">
        <v>243225.0</v>
      </c>
      <c r="Y132" s="36">
        <v>353629.0</v>
      </c>
      <c r="Z132" s="36">
        <v>236299.0</v>
      </c>
    </row>
    <row r="133">
      <c r="A133" s="66"/>
      <c r="B133" s="16" t="s">
        <v>61</v>
      </c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64"/>
      <c r="O133" s="64"/>
      <c r="P133" s="64"/>
      <c r="Q133" s="64"/>
      <c r="R133" s="64"/>
      <c r="S133" s="64"/>
      <c r="T133" s="64"/>
      <c r="U133" s="64"/>
      <c r="V133" s="64"/>
      <c r="W133" s="36"/>
      <c r="X133" s="40"/>
    </row>
    <row r="134">
      <c r="A134" s="66" t="s">
        <v>79</v>
      </c>
      <c r="B134" s="1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>
        <v>132204.0</v>
      </c>
      <c r="N134" s="36">
        <f>1490+2193</f>
        <v>3683</v>
      </c>
      <c r="O134" s="36">
        <f>6739+1544+2500+3000+2000+6500+4000+2250+1800+3000+2774+42000+7000+1782+12691</f>
        <v>99580</v>
      </c>
      <c r="P134" s="36">
        <f>3207+10351+5996+8338+64661+114495</f>
        <v>207048</v>
      </c>
      <c r="Q134" s="36">
        <f>1514+9714+20520+1565+38728+350+6099+2452+10452+11940</f>
        <v>103334</v>
      </c>
      <c r="R134" s="36">
        <f>3549+1794+5275+51000+18000+4538+10669+1775+6240</f>
        <v>102840</v>
      </c>
      <c r="S134" s="36">
        <f>879+10806+4003+8683+14865+263888</f>
        <v>303124</v>
      </c>
      <c r="T134" s="36">
        <f>10000+4467+8200+17604+1500+28912+17500+4914</f>
        <v>93097</v>
      </c>
      <c r="U134" s="36">
        <f>21034+3549+5859+22418+6644</f>
        <v>59504</v>
      </c>
      <c r="V134" s="36">
        <f>12415+77418+4800+24958+20600+14000+188+2172+15494+2491</f>
        <v>174536</v>
      </c>
      <c r="W134" s="36">
        <f>36314+4140+2559+6951+2839</f>
        <v>52803</v>
      </c>
      <c r="X134" s="36">
        <f>9000+30770+100+12089+13651+1344+167+242211</f>
        <v>309332</v>
      </c>
      <c r="Y134" s="36">
        <f>6012+431+50960+216711+210000+5814+7690</f>
        <v>497618</v>
      </c>
      <c r="Z134" s="36">
        <f>6806+79495+63607</f>
        <v>149908</v>
      </c>
    </row>
    <row r="135">
      <c r="A135" s="66" t="s">
        <v>80</v>
      </c>
      <c r="B135" s="1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>
        <v>12732.0</v>
      </c>
      <c r="N135" s="36">
        <f>3012+24000+19218+124+25923+1663+1642</f>
        <v>75582</v>
      </c>
      <c r="O135" s="36">
        <f>3055+2230+4423+13667+44335+5978+6194+2143+1931+251966</f>
        <v>335922</v>
      </c>
      <c r="P135" s="36">
        <f>153+12031+11800+6118+1292+16582</f>
        <v>47976</v>
      </c>
      <c r="Q135" s="36">
        <f>14503+17500+1770</f>
        <v>33773</v>
      </c>
      <c r="R135" s="36">
        <f>22000+39334+3576+2118+5895+58780</f>
        <v>131703</v>
      </c>
      <c r="S135" s="36">
        <f>10832+53977</f>
        <v>64809</v>
      </c>
      <c r="T135" s="36">
        <f>17842+3673+1320</f>
        <v>22835</v>
      </c>
      <c r="U135" s="36">
        <f>1380+23249+846+1177+3993+3546+47207+33767+9937+22292+11086+1356+37000</f>
        <v>196836</v>
      </c>
      <c r="V135" s="36">
        <f>36187+4572+37000+1076+1719</f>
        <v>80554</v>
      </c>
      <c r="W135" s="36">
        <f>12551+17680+7360+8646+5433</f>
        <v>51670</v>
      </c>
      <c r="X135" s="36">
        <f>40000+2994+1102+114</f>
        <v>44210</v>
      </c>
      <c r="Y135" s="36">
        <f>45000+39372+406693+10915+41000+2130+4835</f>
        <v>549945</v>
      </c>
      <c r="Z135" s="36">
        <f>16573+41876+800+21895+1166</f>
        <v>82310</v>
      </c>
    </row>
    <row r="136">
      <c r="A136" s="66"/>
      <c r="B136" s="16" t="s">
        <v>62</v>
      </c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36"/>
      <c r="X136" s="40"/>
    </row>
    <row r="137">
      <c r="A137" s="66" t="s">
        <v>79</v>
      </c>
      <c r="B137" s="1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>
        <v>34979.0</v>
      </c>
      <c r="N137" s="36">
        <v>0.0</v>
      </c>
      <c r="O137" s="36">
        <v>48601.0</v>
      </c>
      <c r="P137" s="36">
        <v>13623.0</v>
      </c>
      <c r="Q137" s="36">
        <v>91758.0</v>
      </c>
      <c r="R137" s="36">
        <v>113998.0</v>
      </c>
      <c r="S137" s="36">
        <v>279637.0</v>
      </c>
      <c r="T137" s="36">
        <v>83356.0</v>
      </c>
      <c r="U137" s="36">
        <v>193859.0</v>
      </c>
      <c r="V137" s="36">
        <v>92815.0</v>
      </c>
      <c r="W137" s="57">
        <v>54258.0</v>
      </c>
      <c r="X137" s="57">
        <v>66371.0</v>
      </c>
      <c r="Y137" s="57">
        <v>86686.0</v>
      </c>
      <c r="Z137" s="57">
        <v>15163.0</v>
      </c>
    </row>
    <row r="138">
      <c r="A138" s="66" t="s">
        <v>80</v>
      </c>
      <c r="B138" s="1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>
        <v>276382.0</v>
      </c>
      <c r="N138" s="36">
        <v>322382.0</v>
      </c>
      <c r="O138" s="36">
        <v>92278.0</v>
      </c>
      <c r="P138" s="36">
        <v>123185.0</v>
      </c>
      <c r="Q138" s="36">
        <v>95693.0</v>
      </c>
      <c r="R138" s="36">
        <v>51921.0</v>
      </c>
      <c r="S138" s="36">
        <v>248094.0</v>
      </c>
      <c r="T138" s="36">
        <v>134864.0</v>
      </c>
      <c r="U138" s="36">
        <v>55767.0</v>
      </c>
      <c r="V138" s="36">
        <v>65891.0</v>
      </c>
      <c r="W138" s="57">
        <v>284320.0</v>
      </c>
      <c r="X138" s="57">
        <v>267826.0</v>
      </c>
      <c r="Y138" s="57">
        <v>225907.0</v>
      </c>
      <c r="Z138" s="57">
        <v>58900.0</v>
      </c>
    </row>
    <row r="139">
      <c r="A139" s="66"/>
      <c r="B139" s="16" t="s">
        <v>63</v>
      </c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36"/>
      <c r="X139" s="40"/>
    </row>
    <row r="140">
      <c r="A140" s="66" t="s">
        <v>79</v>
      </c>
      <c r="B140" s="15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36">
        <v>684.0</v>
      </c>
      <c r="O140" s="36">
        <v>2736.0</v>
      </c>
      <c r="P140" s="36">
        <v>4453.0</v>
      </c>
      <c r="Q140" s="36">
        <v>0.0</v>
      </c>
      <c r="R140" s="36">
        <v>3756.0</v>
      </c>
      <c r="S140" s="36">
        <v>0.0</v>
      </c>
      <c r="T140" s="36">
        <v>0.0</v>
      </c>
      <c r="U140" s="36">
        <v>0.0</v>
      </c>
      <c r="V140" s="36">
        <v>2015.0</v>
      </c>
      <c r="W140" s="36">
        <v>14850.0</v>
      </c>
      <c r="X140" s="36">
        <v>78166.0</v>
      </c>
      <c r="Y140" s="36">
        <v>16262.0</v>
      </c>
      <c r="Z140" s="36">
        <v>14440.0</v>
      </c>
      <c r="AA140" s="12">
        <v>16558.0</v>
      </c>
    </row>
    <row r="141">
      <c r="A141" s="66" t="s">
        <v>80</v>
      </c>
      <c r="B141" s="15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>
        <v>3437.0</v>
      </c>
      <c r="O141" s="36">
        <v>14380.0</v>
      </c>
      <c r="P141" s="36">
        <v>14380.0</v>
      </c>
      <c r="Q141" s="36">
        <v>215033.0</v>
      </c>
      <c r="R141" s="36">
        <v>5389.0</v>
      </c>
      <c r="S141" s="36">
        <v>155212.0</v>
      </c>
      <c r="T141" s="36">
        <v>5968.0</v>
      </c>
      <c r="U141" s="36">
        <v>6214.0</v>
      </c>
      <c r="V141" s="36">
        <v>60896.0</v>
      </c>
      <c r="W141" s="36">
        <v>3785.0</v>
      </c>
      <c r="X141" s="36">
        <v>37133.0</v>
      </c>
      <c r="Y141" s="36">
        <v>13715.0</v>
      </c>
      <c r="Z141" s="36">
        <v>85214.0</v>
      </c>
      <c r="AA141" s="12">
        <v>63897.0</v>
      </c>
    </row>
    <row r="142">
      <c r="A142" s="66"/>
      <c r="B142" s="16" t="s">
        <v>64</v>
      </c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</row>
    <row r="143">
      <c r="A143" s="66" t="s">
        <v>79</v>
      </c>
      <c r="B143" s="16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36"/>
      <c r="N143" s="74"/>
      <c r="O143" s="74"/>
      <c r="P143" s="74"/>
      <c r="Q143" s="74"/>
      <c r="R143" s="74"/>
      <c r="S143" s="74"/>
      <c r="T143" s="74"/>
      <c r="U143" s="74"/>
      <c r="V143" s="74"/>
      <c r="W143" s="75"/>
      <c r="X143" s="36">
        <v>3605.0</v>
      </c>
      <c r="Y143" s="36">
        <v>30772.0</v>
      </c>
      <c r="Z143" s="36">
        <v>53187.0</v>
      </c>
    </row>
    <row r="144">
      <c r="A144" s="66" t="s">
        <v>80</v>
      </c>
      <c r="B144" s="17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36"/>
      <c r="N144" s="64"/>
      <c r="O144" s="64"/>
      <c r="P144" s="64"/>
      <c r="Q144" s="64"/>
      <c r="R144" s="64"/>
      <c r="S144" s="64"/>
      <c r="T144" s="64"/>
      <c r="U144" s="64"/>
      <c r="V144" s="64"/>
      <c r="W144" s="40"/>
      <c r="X144" s="36">
        <v>11060.0</v>
      </c>
      <c r="Y144" s="36">
        <v>48333.0</v>
      </c>
      <c r="Z144" s="36">
        <v>66224.0</v>
      </c>
    </row>
    <row r="145">
      <c r="A145" s="66"/>
      <c r="B145" s="16" t="s">
        <v>65</v>
      </c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36"/>
      <c r="N145" s="64"/>
      <c r="O145" s="64"/>
      <c r="P145" s="64"/>
      <c r="Q145" s="64"/>
      <c r="R145" s="64"/>
      <c r="S145" s="64"/>
      <c r="T145" s="64"/>
      <c r="U145" s="64"/>
      <c r="V145" s="64"/>
      <c r="W145" s="40"/>
      <c r="X145" s="40"/>
      <c r="Y145" s="36"/>
    </row>
    <row r="146">
      <c r="A146" s="66" t="s">
        <v>79</v>
      </c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36"/>
      <c r="N146" s="64"/>
      <c r="O146" s="64"/>
      <c r="P146" s="64"/>
      <c r="Q146" s="64"/>
      <c r="R146" s="64"/>
      <c r="S146" s="64"/>
      <c r="T146" s="64"/>
      <c r="U146" s="64"/>
      <c r="V146" s="64"/>
      <c r="W146" s="40"/>
      <c r="X146" s="40"/>
      <c r="Y146" s="36">
        <v>97183.0</v>
      </c>
      <c r="Z146" s="36">
        <v>55520.0</v>
      </c>
    </row>
    <row r="147">
      <c r="A147" s="66"/>
      <c r="B147" s="17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40"/>
      <c r="X147" s="40"/>
    </row>
    <row r="148">
      <c r="A148" s="66"/>
      <c r="B148" s="42" t="s">
        <v>66</v>
      </c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40"/>
      <c r="X148" s="40"/>
    </row>
    <row r="149">
      <c r="A149" s="66"/>
      <c r="B149" s="16" t="s">
        <v>67</v>
      </c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40"/>
      <c r="X149" s="40"/>
    </row>
    <row r="150">
      <c r="A150" s="66" t="s">
        <v>79</v>
      </c>
      <c r="B150" s="1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>
        <v>5115.0</v>
      </c>
      <c r="N150" s="36">
        <v>0.0</v>
      </c>
      <c r="O150" s="36">
        <v>0.0</v>
      </c>
      <c r="P150" s="36">
        <v>21655.9</v>
      </c>
      <c r="Q150" s="36">
        <v>25729.9</v>
      </c>
      <c r="R150" s="36">
        <v>5457.0</v>
      </c>
      <c r="S150" s="36">
        <v>889.0</v>
      </c>
      <c r="T150" s="36">
        <v>0.0</v>
      </c>
      <c r="U150" s="36">
        <v>0.0</v>
      </c>
      <c r="V150" s="36">
        <v>0.0</v>
      </c>
      <c r="W150" s="36">
        <v>0.0</v>
      </c>
      <c r="X150" s="36">
        <v>0.0</v>
      </c>
      <c r="Y150" s="36">
        <v>4925.0</v>
      </c>
      <c r="Z150" s="36">
        <v>0.0</v>
      </c>
      <c r="AA150" s="36">
        <v>0.0</v>
      </c>
    </row>
    <row r="151">
      <c r="A151" s="66" t="s">
        <v>80</v>
      </c>
      <c r="B151" s="1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>
        <v>336863.0</v>
      </c>
      <c r="N151" s="36" t="s">
        <v>81</v>
      </c>
      <c r="O151" s="36">
        <v>149699.55</v>
      </c>
      <c r="P151" s="36">
        <v>205499.7</v>
      </c>
      <c r="Q151" s="36">
        <v>56823.7</v>
      </c>
      <c r="R151" s="36">
        <v>71748.4</v>
      </c>
      <c r="S151" s="36">
        <v>591412.0</v>
      </c>
      <c r="T151" s="36">
        <v>4485.0</v>
      </c>
      <c r="U151" s="36">
        <v>0.0</v>
      </c>
      <c r="V151" s="36">
        <v>0.0</v>
      </c>
      <c r="W151" s="36">
        <v>6.555</v>
      </c>
      <c r="X151" s="36">
        <v>2250667.0</v>
      </c>
      <c r="Y151" s="36">
        <v>28832.0</v>
      </c>
      <c r="Z151" s="36">
        <v>738038.0</v>
      </c>
      <c r="AA151" s="36">
        <v>44722.0</v>
      </c>
    </row>
    <row r="152">
      <c r="A152" s="66"/>
      <c r="B152" s="16" t="s">
        <v>68</v>
      </c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40"/>
      <c r="Z152" s="64"/>
    </row>
    <row r="153">
      <c r="A153" s="66" t="s">
        <v>79</v>
      </c>
      <c r="B153" s="1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>
        <v>0.0</v>
      </c>
      <c r="N153" s="58">
        <v>0.0</v>
      </c>
      <c r="O153" s="36">
        <v>65601.0</v>
      </c>
      <c r="P153" s="36">
        <v>42757.0</v>
      </c>
      <c r="Q153" s="36">
        <v>0.0</v>
      </c>
      <c r="R153" s="36">
        <v>10044.0</v>
      </c>
      <c r="S153" s="36">
        <v>25970.0</v>
      </c>
      <c r="T153" s="36">
        <v>11556.0</v>
      </c>
      <c r="U153" s="36">
        <v>0.0</v>
      </c>
      <c r="V153" s="36">
        <v>9450.0</v>
      </c>
      <c r="W153" s="58">
        <v>92692.0</v>
      </c>
      <c r="X153" s="36">
        <v>0.0</v>
      </c>
      <c r="Y153" s="36">
        <v>0.0</v>
      </c>
      <c r="Z153" s="36">
        <v>96527.0</v>
      </c>
      <c r="AA153" s="36">
        <v>0.0</v>
      </c>
    </row>
    <row r="154">
      <c r="A154" s="66" t="s">
        <v>80</v>
      </c>
      <c r="B154" s="1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>
        <v>1058109.0</v>
      </c>
      <c r="N154" s="58">
        <f t="shared" ref="N154:U154" si="27">N81-N153</f>
        <v>169751</v>
      </c>
      <c r="O154" s="36">
        <f t="shared" si="27"/>
        <v>364567</v>
      </c>
      <c r="P154" s="36">
        <f t="shared" si="27"/>
        <v>481763</v>
      </c>
      <c r="Q154" s="36">
        <f t="shared" si="27"/>
        <v>473116</v>
      </c>
      <c r="R154" s="36">
        <f t="shared" si="27"/>
        <v>276831</v>
      </c>
      <c r="S154" s="36">
        <f t="shared" si="27"/>
        <v>650022</v>
      </c>
      <c r="T154" s="36">
        <f t="shared" si="27"/>
        <v>80106</v>
      </c>
      <c r="U154" s="36">
        <f t="shared" si="27"/>
        <v>174298</v>
      </c>
      <c r="V154" s="36">
        <v>6925.0</v>
      </c>
      <c r="W154" s="58">
        <f>W81-W153</f>
        <v>390365</v>
      </c>
      <c r="X154" s="36">
        <v>579974.78</v>
      </c>
      <c r="Y154" s="36">
        <v>978556.0</v>
      </c>
      <c r="Z154" s="36">
        <f>Z81-Z153</f>
        <v>490112</v>
      </c>
      <c r="AA154" s="36">
        <v>437608.0</v>
      </c>
    </row>
    <row r="155">
      <c r="A155" s="66"/>
      <c r="B155" s="16" t="s">
        <v>69</v>
      </c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40"/>
      <c r="Z155" s="64"/>
    </row>
    <row r="156">
      <c r="A156" s="66" t="s">
        <v>79</v>
      </c>
      <c r="B156" s="1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>
        <v>13920.0</v>
      </c>
      <c r="N156" s="36">
        <v>11158.0</v>
      </c>
      <c r="O156" s="36">
        <v>12126.0</v>
      </c>
      <c r="P156" s="36">
        <v>35926.0</v>
      </c>
      <c r="Q156" s="36">
        <v>29224.0</v>
      </c>
      <c r="R156" s="36">
        <v>1774.0</v>
      </c>
      <c r="S156" s="36">
        <v>123848.0</v>
      </c>
      <c r="T156" s="36">
        <v>19136.0</v>
      </c>
      <c r="U156" s="36">
        <v>63461.0</v>
      </c>
      <c r="V156" s="36">
        <v>188631.0</v>
      </c>
      <c r="W156" s="36">
        <v>164567.0</v>
      </c>
      <c r="X156" s="36">
        <v>16490.0</v>
      </c>
      <c r="Y156" s="36">
        <v>56712.0</v>
      </c>
      <c r="Z156" s="36">
        <v>8032.0</v>
      </c>
      <c r="AA156" s="36">
        <v>12608.0</v>
      </c>
    </row>
    <row r="157">
      <c r="A157" s="66" t="s">
        <v>80</v>
      </c>
      <c r="B157" s="1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>
        <v>45268.0</v>
      </c>
      <c r="N157" s="36">
        <v>174983.0</v>
      </c>
      <c r="O157" s="36">
        <v>114879.0</v>
      </c>
      <c r="P157" s="36">
        <v>355474.0</v>
      </c>
      <c r="Q157" s="36">
        <v>21230.0</v>
      </c>
      <c r="R157" s="36">
        <v>95758.0</v>
      </c>
      <c r="S157" s="36">
        <v>77690.0</v>
      </c>
      <c r="T157" s="36">
        <v>89140.0</v>
      </c>
      <c r="U157" s="36">
        <v>55234.0</v>
      </c>
      <c r="V157" s="36">
        <v>10875.0</v>
      </c>
      <c r="W157" s="36">
        <v>69664.0</v>
      </c>
      <c r="X157" s="36">
        <v>36362.0</v>
      </c>
      <c r="Y157" s="36">
        <v>20138.0</v>
      </c>
      <c r="Z157" s="36">
        <v>26006.0</v>
      </c>
      <c r="AA157" s="36">
        <v>219767.0</v>
      </c>
    </row>
    <row r="158">
      <c r="A158" s="66"/>
      <c r="B158" s="16" t="s">
        <v>70</v>
      </c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40"/>
      <c r="Z158" s="64"/>
    </row>
    <row r="159">
      <c r="A159" s="66" t="s">
        <v>79</v>
      </c>
      <c r="B159" s="1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>
        <v>0.0</v>
      </c>
      <c r="N159" s="36">
        <v>7620.0</v>
      </c>
      <c r="O159" s="36">
        <v>25220.0</v>
      </c>
      <c r="P159" s="36">
        <v>23427.0</v>
      </c>
      <c r="Q159" s="36">
        <v>6364.0</v>
      </c>
      <c r="R159" s="36">
        <v>7443.0</v>
      </c>
      <c r="S159" s="36">
        <v>33275.0</v>
      </c>
      <c r="T159" s="36">
        <v>11169.0</v>
      </c>
      <c r="U159" s="36">
        <v>9480.0</v>
      </c>
      <c r="V159" s="36">
        <v>7795.0</v>
      </c>
      <c r="W159" s="36">
        <v>71142.0</v>
      </c>
      <c r="X159" s="36">
        <v>20609.0</v>
      </c>
      <c r="Y159" s="36">
        <v>20671.0</v>
      </c>
      <c r="Z159" s="36">
        <v>3600.0</v>
      </c>
    </row>
    <row r="160">
      <c r="A160" s="66" t="s">
        <v>80</v>
      </c>
      <c r="B160" s="1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>
        <v>0.0</v>
      </c>
      <c r="N160" s="36">
        <v>44927.0</v>
      </c>
      <c r="O160" s="36">
        <v>0.0</v>
      </c>
      <c r="P160" s="36">
        <v>0.0</v>
      </c>
      <c r="Q160" s="36">
        <v>23184.0</v>
      </c>
      <c r="R160" s="36">
        <v>6626.0</v>
      </c>
      <c r="S160" s="36">
        <v>478088.0</v>
      </c>
      <c r="T160" s="36">
        <v>108844.0</v>
      </c>
      <c r="U160" s="36">
        <v>10893.0</v>
      </c>
      <c r="V160" s="36">
        <v>95951.0</v>
      </c>
      <c r="W160" s="36">
        <v>59166.0</v>
      </c>
      <c r="X160" s="36">
        <v>28899.0</v>
      </c>
      <c r="Y160" s="36">
        <v>212925.0</v>
      </c>
      <c r="Z160" s="36">
        <v>73736.0</v>
      </c>
    </row>
    <row r="161">
      <c r="A161" s="66"/>
      <c r="B161" s="48" t="s">
        <v>53</v>
      </c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36"/>
      <c r="X161" s="40"/>
      <c r="Z161" s="64"/>
    </row>
    <row r="162">
      <c r="A162" s="66"/>
      <c r="B162" s="66" t="s">
        <v>71</v>
      </c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36"/>
      <c r="X162" s="40"/>
      <c r="Z162" s="64"/>
    </row>
    <row r="163">
      <c r="A163" s="66" t="s">
        <v>79</v>
      </c>
      <c r="B163" s="6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>
        <v>32397.27</v>
      </c>
      <c r="N163" s="36">
        <v>15308.0</v>
      </c>
      <c r="O163" s="36">
        <v>33997.1</v>
      </c>
      <c r="P163" s="36">
        <f>(80768.5)</f>
        <v>80768.5</v>
      </c>
      <c r="Q163" s="36">
        <v>19570.6</v>
      </c>
      <c r="R163" s="36">
        <v>22849.0</v>
      </c>
      <c r="S163" s="36">
        <v>13377.0</v>
      </c>
      <c r="T163" s="36">
        <v>38011.5</v>
      </c>
      <c r="U163" s="36">
        <v>38802.5</v>
      </c>
      <c r="V163" s="36">
        <v>27003.53</v>
      </c>
      <c r="W163" s="36">
        <v>22918.0</v>
      </c>
      <c r="X163" s="36">
        <v>29206.0</v>
      </c>
      <c r="Y163" s="36">
        <v>58613.0</v>
      </c>
      <c r="Z163" s="36">
        <v>10520.0</v>
      </c>
    </row>
    <row r="164">
      <c r="A164" s="66" t="s">
        <v>80</v>
      </c>
      <c r="B164" s="6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>
        <f t="shared" ref="M164:U164" si="28">(M86-M163)</f>
        <v>263775.68</v>
      </c>
      <c r="N164" s="36">
        <f t="shared" si="28"/>
        <v>647718.74</v>
      </c>
      <c r="O164" s="36">
        <f t="shared" si="28"/>
        <v>183691.17</v>
      </c>
      <c r="P164" s="36">
        <f t="shared" si="28"/>
        <v>239962.8</v>
      </c>
      <c r="Q164" s="36">
        <f t="shared" si="28"/>
        <v>286211.6</v>
      </c>
      <c r="R164" s="36">
        <f t="shared" si="28"/>
        <v>162479.23</v>
      </c>
      <c r="S164" s="36">
        <f t="shared" si="28"/>
        <v>132176.23</v>
      </c>
      <c r="T164" s="36">
        <f t="shared" si="28"/>
        <v>527073.46</v>
      </c>
      <c r="U164" s="36">
        <f t="shared" si="28"/>
        <v>168231.65</v>
      </c>
      <c r="V164" s="36">
        <v>266198.78</v>
      </c>
      <c r="W164" s="36">
        <v>129012.11</v>
      </c>
      <c r="X164" s="36">
        <v>242648.0</v>
      </c>
      <c r="Y164" s="36">
        <v>183863.0</v>
      </c>
      <c r="Z164" s="36">
        <f>(Z86-Z163)</f>
        <v>104492</v>
      </c>
    </row>
    <row r="165">
      <c r="A165" s="66"/>
      <c r="B165" s="66" t="s">
        <v>72</v>
      </c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36"/>
      <c r="X165" s="36"/>
      <c r="Z165" s="36"/>
    </row>
    <row r="166">
      <c r="A166" s="66" t="s">
        <v>79</v>
      </c>
      <c r="B166" s="6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>
        <v>6943.0</v>
      </c>
      <c r="N166" s="36">
        <v>4893.0</v>
      </c>
      <c r="O166" s="36">
        <v>2070.0</v>
      </c>
      <c r="P166" s="36">
        <v>5102.5</v>
      </c>
      <c r="Q166" s="36">
        <v>11049.75</v>
      </c>
      <c r="R166" s="36">
        <v>9169.0</v>
      </c>
      <c r="S166" s="36">
        <v>3577.0</v>
      </c>
      <c r="T166" s="36">
        <v>2670.0</v>
      </c>
      <c r="U166" s="36">
        <v>21883.0</v>
      </c>
      <c r="V166" s="36">
        <v>14437.25</v>
      </c>
      <c r="W166" s="36">
        <v>12745.0</v>
      </c>
      <c r="X166" s="36">
        <v>12219.0</v>
      </c>
      <c r="Y166" s="36">
        <v>11016.0</v>
      </c>
      <c r="Z166" s="36">
        <v>31026.0</v>
      </c>
    </row>
    <row r="167">
      <c r="A167" s="66" t="s">
        <v>80</v>
      </c>
      <c r="B167" s="6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>
        <f>152939.39-M166</f>
        <v>145996.39</v>
      </c>
      <c r="N167" s="36">
        <f>48249.15-N166</f>
        <v>43356.15</v>
      </c>
      <c r="O167" s="36">
        <f>114163.5-O166</f>
        <v>112093.5</v>
      </c>
      <c r="P167" s="36">
        <f>29917.25-P166</f>
        <v>24814.75</v>
      </c>
      <c r="Q167" s="36">
        <f>61464.25-Q166</f>
        <v>50414.5</v>
      </c>
      <c r="R167" s="36">
        <f>160052.75-R166</f>
        <v>150883.75</v>
      </c>
      <c r="S167" s="36">
        <f>59228.5-S166</f>
        <v>55651.5</v>
      </c>
      <c r="T167" s="36">
        <f>97094.08-T166</f>
        <v>94424.08</v>
      </c>
      <c r="U167" s="36">
        <f>116938-U166</f>
        <v>95055</v>
      </c>
      <c r="V167" s="36">
        <f>38971.75-V166</f>
        <v>24534.5</v>
      </c>
      <c r="W167" s="36">
        <f>103210-W166</f>
        <v>90465</v>
      </c>
      <c r="X167" s="36">
        <f>118261-X166</f>
        <v>106042</v>
      </c>
      <c r="Y167" s="36">
        <f>88721-Y166</f>
        <v>77705</v>
      </c>
      <c r="Z167" s="36">
        <f>Z87-Z166</f>
        <v>188983</v>
      </c>
    </row>
    <row r="168">
      <c r="A168" s="66"/>
      <c r="B168" s="66" t="s">
        <v>73</v>
      </c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36"/>
      <c r="X168" s="36"/>
      <c r="Z168" s="36"/>
    </row>
    <row r="169">
      <c r="A169" s="66" t="s">
        <v>79</v>
      </c>
      <c r="B169" s="6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>
        <v>12854.0</v>
      </c>
      <c r="N169" s="36">
        <v>24877.0</v>
      </c>
      <c r="O169" s="36">
        <v>20233.0</v>
      </c>
      <c r="P169" s="36">
        <v>21156.0</v>
      </c>
      <c r="Q169" s="36">
        <v>64507.0</v>
      </c>
      <c r="R169" s="36">
        <v>17630.0</v>
      </c>
      <c r="S169" s="36">
        <v>13403.0</v>
      </c>
      <c r="T169" s="36">
        <v>8475.0</v>
      </c>
      <c r="U169" s="36">
        <v>28913.0</v>
      </c>
      <c r="V169" s="36">
        <v>7822.0</v>
      </c>
      <c r="W169" s="36">
        <v>6274.0</v>
      </c>
      <c r="X169" s="36">
        <v>74148.0</v>
      </c>
      <c r="Y169" s="36">
        <v>9264.0</v>
      </c>
      <c r="Z169" s="36">
        <v>11403.0</v>
      </c>
    </row>
    <row r="170">
      <c r="A170" s="66" t="s">
        <v>80</v>
      </c>
      <c r="B170" s="6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>
        <v>10080.0</v>
      </c>
      <c r="N170" s="36">
        <v>22672.0</v>
      </c>
      <c r="O170" s="36">
        <v>19677.0</v>
      </c>
      <c r="P170" s="36">
        <v>36331.0</v>
      </c>
      <c r="Q170" s="36">
        <v>16620.0</v>
      </c>
      <c r="R170" s="36">
        <v>51542.0</v>
      </c>
      <c r="S170" s="36">
        <v>96729.0</v>
      </c>
      <c r="T170" s="36">
        <v>68213.0</v>
      </c>
      <c r="U170" s="36">
        <v>135817.0</v>
      </c>
      <c r="V170" s="36">
        <v>30976.0</v>
      </c>
      <c r="W170" s="36">
        <v>60416.0</v>
      </c>
      <c r="X170" s="36">
        <v>47645.0</v>
      </c>
      <c r="Y170" s="36">
        <v>29498.0</v>
      </c>
      <c r="Z170" s="36">
        <v>39869.0</v>
      </c>
    </row>
    <row r="171">
      <c r="A171" s="66"/>
      <c r="B171" s="66" t="s">
        <v>74</v>
      </c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36"/>
      <c r="X171" s="36"/>
      <c r="Z171" s="36"/>
    </row>
    <row r="172">
      <c r="A172" s="66" t="s">
        <v>79</v>
      </c>
      <c r="B172" s="45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>
        <v>1160.0</v>
      </c>
      <c r="N172" s="36">
        <v>0.0</v>
      </c>
      <c r="O172" s="36">
        <v>755.0</v>
      </c>
      <c r="P172" s="36">
        <v>4478.0</v>
      </c>
      <c r="Q172" s="36">
        <v>6755.0</v>
      </c>
      <c r="R172" s="36">
        <v>14535.0</v>
      </c>
      <c r="S172" s="36">
        <v>1134.0</v>
      </c>
      <c r="T172" s="36">
        <v>7690.0</v>
      </c>
      <c r="U172" s="36">
        <v>2225.0</v>
      </c>
      <c r="V172" s="36">
        <v>11415.0</v>
      </c>
      <c r="W172" s="36">
        <v>0.0</v>
      </c>
      <c r="X172" s="36">
        <v>6178.0</v>
      </c>
      <c r="Y172" s="36">
        <v>15345.0</v>
      </c>
      <c r="Z172" s="36">
        <v>7188.0</v>
      </c>
    </row>
    <row r="173">
      <c r="A173" s="66" t="s">
        <v>80</v>
      </c>
      <c r="B173" s="1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>
        <v>18673.0</v>
      </c>
      <c r="N173" s="36">
        <v>31217.0</v>
      </c>
      <c r="O173" s="36">
        <v>1782.25</v>
      </c>
      <c r="P173" s="36">
        <v>15192.0</v>
      </c>
      <c r="Q173" s="36">
        <v>46100.0</v>
      </c>
      <c r="R173" s="36">
        <v>10172.0</v>
      </c>
      <c r="S173" s="36">
        <v>63717.0</v>
      </c>
      <c r="T173" s="36">
        <v>67102.0</v>
      </c>
      <c r="U173" s="36">
        <v>28330.0</v>
      </c>
      <c r="V173" s="36">
        <v>25390.0</v>
      </c>
      <c r="W173" s="36">
        <v>39905.0</v>
      </c>
      <c r="X173" s="36">
        <v>30790.0</v>
      </c>
      <c r="Y173" s="36">
        <v>20693.25</v>
      </c>
      <c r="Z173" s="36">
        <v>32568.25</v>
      </c>
    </row>
    <row r="174">
      <c r="A174" s="68"/>
      <c r="B174" s="49" t="s">
        <v>54</v>
      </c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36"/>
      <c r="X174" s="40"/>
      <c r="Z174" s="40"/>
    </row>
    <row r="175">
      <c r="A175" s="68"/>
      <c r="B175" s="12" t="s">
        <v>60</v>
      </c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36"/>
      <c r="X175" s="40"/>
      <c r="Z175" s="40"/>
    </row>
    <row r="176">
      <c r="A176" s="66" t="s">
        <v>79</v>
      </c>
      <c r="B176" s="68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66" t="s">
        <v>80</v>
      </c>
      <c r="B177" s="68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collapsed="1">
      <c r="A178" s="54" t="s">
        <v>82</v>
      </c>
      <c r="B178" s="31" t="s">
        <v>83</v>
      </c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36"/>
      <c r="X178" s="40"/>
      <c r="Z178" s="36"/>
    </row>
    <row r="179" hidden="1" outlineLevel="1">
      <c r="A179" s="68"/>
      <c r="B179" s="16" t="s">
        <v>57</v>
      </c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36"/>
      <c r="X179" s="40"/>
      <c r="Z179" s="36"/>
    </row>
    <row r="180" hidden="1" outlineLevel="1">
      <c r="A180" s="66" t="s">
        <v>79</v>
      </c>
      <c r="B180" s="16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>
        <v>4.0</v>
      </c>
      <c r="N180" s="40"/>
      <c r="O180" s="40"/>
      <c r="P180" s="40"/>
      <c r="Q180" s="40"/>
      <c r="R180" s="40"/>
      <c r="S180" s="40"/>
      <c r="T180" s="40"/>
      <c r="U180" s="40"/>
      <c r="V180" s="40"/>
      <c r="W180" s="36"/>
      <c r="X180" s="40"/>
      <c r="Z180" s="35">
        <v>6.0</v>
      </c>
    </row>
    <row r="181" hidden="1" outlineLevel="1">
      <c r="A181" s="66" t="s">
        <v>80</v>
      </c>
      <c r="B181" s="16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>
        <v>1.0</v>
      </c>
      <c r="N181" s="40"/>
      <c r="O181" s="40"/>
      <c r="P181" s="40"/>
      <c r="Q181" s="40"/>
      <c r="R181" s="40"/>
      <c r="S181" s="40"/>
      <c r="T181" s="40"/>
      <c r="U181" s="40"/>
      <c r="V181" s="40"/>
      <c r="W181" s="36"/>
      <c r="X181" s="40"/>
      <c r="Z181" s="35">
        <v>1.0</v>
      </c>
    </row>
    <row r="182" hidden="1" outlineLevel="1">
      <c r="A182" s="66"/>
      <c r="B182" s="16" t="s">
        <v>58</v>
      </c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40"/>
      <c r="O182" s="40"/>
      <c r="P182" s="40"/>
      <c r="Q182" s="40"/>
      <c r="R182" s="40"/>
      <c r="S182" s="40"/>
      <c r="T182" s="40"/>
      <c r="U182" s="40"/>
      <c r="V182" s="40"/>
      <c r="W182" s="36"/>
      <c r="X182" s="40"/>
      <c r="Z182" s="35"/>
    </row>
    <row r="183" hidden="1" outlineLevel="1">
      <c r="A183" s="66" t="s">
        <v>79</v>
      </c>
      <c r="B183" s="16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>
        <v>7.0</v>
      </c>
      <c r="N183" s="40"/>
      <c r="O183" s="40"/>
      <c r="P183" s="40"/>
      <c r="Q183" s="40"/>
      <c r="R183" s="40"/>
      <c r="S183" s="40"/>
      <c r="T183" s="40"/>
      <c r="U183" s="40"/>
      <c r="V183" s="40"/>
      <c r="W183" s="36"/>
      <c r="X183" s="40"/>
      <c r="Z183" s="12">
        <v>8.0</v>
      </c>
    </row>
    <row r="184" hidden="1" outlineLevel="1">
      <c r="A184" s="66" t="s">
        <v>80</v>
      </c>
      <c r="B184" s="16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>
        <v>13.0</v>
      </c>
      <c r="N184" s="40"/>
      <c r="O184" s="40"/>
      <c r="P184" s="40"/>
      <c r="Q184" s="40"/>
      <c r="R184" s="40"/>
      <c r="S184" s="40"/>
      <c r="T184" s="40"/>
      <c r="U184" s="40"/>
      <c r="V184" s="40"/>
      <c r="W184" s="36"/>
      <c r="X184" s="40"/>
      <c r="Z184" s="12">
        <v>7.0</v>
      </c>
    </row>
    <row r="185" hidden="1" outlineLevel="1">
      <c r="A185" s="66"/>
      <c r="B185" s="16" t="s">
        <v>59</v>
      </c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40"/>
      <c r="O185" s="40"/>
      <c r="P185" s="40"/>
      <c r="Q185" s="40"/>
      <c r="R185" s="40"/>
      <c r="S185" s="40"/>
      <c r="T185" s="40"/>
      <c r="U185" s="40"/>
      <c r="V185" s="40"/>
      <c r="W185" s="36"/>
      <c r="X185" s="40"/>
      <c r="Z185" s="12"/>
    </row>
    <row r="186" hidden="1" outlineLevel="1">
      <c r="A186" s="66" t="s">
        <v>79</v>
      </c>
      <c r="B186" s="16">
        <v>9.0</v>
      </c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>
        <v>8.0</v>
      </c>
      <c r="N186" s="40"/>
      <c r="O186" s="40"/>
      <c r="P186" s="40"/>
      <c r="Q186" s="40"/>
      <c r="R186" s="40"/>
      <c r="S186" s="40"/>
      <c r="T186" s="40"/>
      <c r="U186" s="40"/>
      <c r="V186" s="40"/>
      <c r="W186" s="36"/>
      <c r="X186" s="40"/>
      <c r="Z186" s="12">
        <v>1.0</v>
      </c>
    </row>
    <row r="187" hidden="1" outlineLevel="1">
      <c r="A187" s="66" t="s">
        <v>80</v>
      </c>
      <c r="B187" s="16">
        <v>10.0</v>
      </c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>
        <v>2.0</v>
      </c>
      <c r="N187" s="40"/>
      <c r="O187" s="40"/>
      <c r="P187" s="40"/>
      <c r="Q187" s="40"/>
      <c r="R187" s="40"/>
      <c r="S187" s="40"/>
      <c r="T187" s="40"/>
      <c r="U187" s="40"/>
      <c r="V187" s="40"/>
      <c r="W187" s="36"/>
      <c r="X187" s="40"/>
      <c r="Z187" s="12">
        <v>15.0</v>
      </c>
    </row>
    <row r="188" hidden="1" outlineLevel="1">
      <c r="A188" s="66"/>
      <c r="B188" s="16" t="s">
        <v>60</v>
      </c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40"/>
      <c r="O188" s="40"/>
      <c r="P188" s="40"/>
      <c r="Q188" s="40"/>
      <c r="R188" s="40"/>
      <c r="S188" s="40"/>
      <c r="T188" s="40"/>
      <c r="U188" s="40"/>
      <c r="V188" s="40"/>
      <c r="W188" s="36"/>
      <c r="X188" s="40"/>
      <c r="Z188" s="35"/>
    </row>
    <row r="189" hidden="1" outlineLevel="1">
      <c r="A189" s="66" t="s">
        <v>79</v>
      </c>
      <c r="B189" s="16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36"/>
      <c r="X189" s="40"/>
      <c r="Z189" s="12">
        <v>1.0</v>
      </c>
    </row>
    <row r="190" hidden="1" outlineLevel="1">
      <c r="A190" s="66" t="s">
        <v>80</v>
      </c>
      <c r="B190" s="16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Z190" s="12">
        <v>7.0</v>
      </c>
    </row>
    <row r="191" hidden="1" outlineLevel="1">
      <c r="A191" s="66"/>
      <c r="B191" s="16" t="s">
        <v>61</v>
      </c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</row>
    <row r="192" hidden="1" outlineLevel="1">
      <c r="A192" s="66" t="s">
        <v>79</v>
      </c>
      <c r="B192" s="16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</row>
    <row r="193" hidden="1" outlineLevel="1">
      <c r="A193" s="66" t="s">
        <v>80</v>
      </c>
      <c r="B193" s="16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</row>
    <row r="194" hidden="1" outlineLevel="1">
      <c r="A194" s="66"/>
      <c r="B194" s="16" t="s">
        <v>62</v>
      </c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</row>
    <row r="195" hidden="1" outlineLevel="1">
      <c r="A195" s="66" t="s">
        <v>79</v>
      </c>
      <c r="B195" s="16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</row>
    <row r="196" hidden="1" outlineLevel="1">
      <c r="A196" s="66" t="s">
        <v>80</v>
      </c>
      <c r="B196" s="16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</row>
    <row r="197" hidden="1" outlineLevel="1">
      <c r="A197" s="66"/>
      <c r="B197" s="16" t="s">
        <v>63</v>
      </c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</row>
    <row r="198" hidden="1" outlineLevel="1">
      <c r="A198" s="66" t="s">
        <v>79</v>
      </c>
      <c r="B198" s="16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</row>
    <row r="199" hidden="1" outlineLevel="1">
      <c r="A199" s="66" t="s">
        <v>80</v>
      </c>
      <c r="B199" s="16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Z199" s="71">
        <v>6.0</v>
      </c>
    </row>
    <row r="200" hidden="1" outlineLevel="1">
      <c r="A200" s="66"/>
      <c r="B200" s="17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Z200" s="71">
        <v>16.0</v>
      </c>
    </row>
    <row r="201" hidden="1" outlineLevel="1">
      <c r="A201" s="66"/>
      <c r="B201" s="17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</row>
    <row r="202" hidden="1" outlineLevel="1">
      <c r="A202" s="66"/>
      <c r="B202" s="17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</row>
    <row r="203" hidden="1" outlineLevel="1">
      <c r="A203" s="66"/>
      <c r="B203" s="42" t="s">
        <v>66</v>
      </c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</row>
    <row r="204" hidden="1" outlineLevel="1">
      <c r="A204" s="66"/>
      <c r="B204" s="16" t="s">
        <v>67</v>
      </c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</row>
    <row r="205" hidden="1" outlineLevel="1">
      <c r="A205" s="66" t="s">
        <v>79</v>
      </c>
      <c r="B205" s="16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</row>
    <row r="206" hidden="1" outlineLevel="1">
      <c r="A206" s="66" t="s">
        <v>80</v>
      </c>
      <c r="B206" s="16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</row>
    <row r="207" hidden="1" outlineLevel="1">
      <c r="A207" s="66"/>
      <c r="B207" s="16" t="s">
        <v>68</v>
      </c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</row>
    <row r="208" hidden="1" outlineLevel="1">
      <c r="A208" s="66" t="s">
        <v>79</v>
      </c>
      <c r="B208" s="16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</row>
    <row r="209" hidden="1" outlineLevel="1">
      <c r="A209" s="66" t="s">
        <v>80</v>
      </c>
      <c r="B209" s="16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</row>
    <row r="210" hidden="1" outlineLevel="1">
      <c r="A210" s="66"/>
      <c r="B210" s="16" t="s">
        <v>69</v>
      </c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</row>
    <row r="211" hidden="1" outlineLevel="1">
      <c r="A211" s="66" t="s">
        <v>79</v>
      </c>
      <c r="B211" s="16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</row>
    <row r="212" hidden="1" outlineLevel="1">
      <c r="A212" s="66" t="s">
        <v>80</v>
      </c>
      <c r="B212" s="16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</row>
    <row r="213" hidden="1" outlineLevel="1">
      <c r="A213" s="66"/>
      <c r="B213" s="16" t="s">
        <v>70</v>
      </c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</row>
    <row r="214" hidden="1" outlineLevel="1">
      <c r="A214" s="66" t="s">
        <v>79</v>
      </c>
      <c r="B214" s="16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62"/>
      <c r="R214" s="40"/>
      <c r="S214" s="40"/>
      <c r="T214" s="40"/>
      <c r="U214" s="40"/>
      <c r="V214" s="40"/>
      <c r="W214" s="40"/>
      <c r="X214" s="40"/>
    </row>
    <row r="215" hidden="1" outlineLevel="1">
      <c r="A215" s="66" t="s">
        <v>80</v>
      </c>
      <c r="B215" s="16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</row>
    <row r="216" hidden="1" outlineLevel="1">
      <c r="A216" s="66"/>
      <c r="B216" s="48" t="s">
        <v>53</v>
      </c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</row>
    <row r="217" hidden="1" outlineLevel="1">
      <c r="A217" s="66"/>
      <c r="B217" s="66" t="s">
        <v>71</v>
      </c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</row>
    <row r="218" hidden="1" outlineLevel="1">
      <c r="A218" s="66" t="s">
        <v>79</v>
      </c>
      <c r="B218" s="66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>
        <v>0.0</v>
      </c>
      <c r="N218" s="35">
        <v>0.0</v>
      </c>
      <c r="O218" s="35">
        <v>0.0</v>
      </c>
      <c r="P218" s="35">
        <v>0.0</v>
      </c>
      <c r="Q218" s="35">
        <v>0.0</v>
      </c>
      <c r="R218" s="35">
        <v>0.0</v>
      </c>
      <c r="S218" s="35">
        <v>0.0</v>
      </c>
      <c r="T218" s="35">
        <v>0.0</v>
      </c>
      <c r="U218" s="35">
        <v>0.0</v>
      </c>
      <c r="V218" s="35">
        <v>12.0</v>
      </c>
      <c r="W218" s="35">
        <v>8.0</v>
      </c>
      <c r="X218" s="35">
        <v>12.0</v>
      </c>
      <c r="Y218" s="35">
        <v>15.0</v>
      </c>
      <c r="Z218" s="35">
        <v>3.0</v>
      </c>
    </row>
    <row r="219" hidden="1" outlineLevel="1">
      <c r="A219" s="66" t="s">
        <v>80</v>
      </c>
      <c r="B219" s="66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>
        <v>0.0</v>
      </c>
      <c r="N219" s="35">
        <v>0.0</v>
      </c>
      <c r="O219" s="35">
        <v>0.0</v>
      </c>
      <c r="P219" s="35">
        <v>0.0</v>
      </c>
      <c r="Q219" s="35">
        <v>0.0</v>
      </c>
      <c r="R219" s="35">
        <v>0.0</v>
      </c>
      <c r="S219" s="35">
        <v>0.0</v>
      </c>
      <c r="T219" s="35">
        <v>0.0</v>
      </c>
      <c r="U219" s="35">
        <v>0.0</v>
      </c>
      <c r="V219" s="35">
        <v>12.0</v>
      </c>
      <c r="W219" s="35">
        <v>10.0</v>
      </c>
      <c r="X219" s="35">
        <v>19.0</v>
      </c>
      <c r="Y219" s="35">
        <v>14.0</v>
      </c>
      <c r="Z219" s="35">
        <v>14.0</v>
      </c>
    </row>
    <row r="220" hidden="1" outlineLevel="1">
      <c r="A220" s="66"/>
      <c r="B220" s="66" t="s">
        <v>72</v>
      </c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72"/>
      <c r="X220" s="40"/>
      <c r="Y220" s="35"/>
    </row>
    <row r="221" hidden="1" outlineLevel="1">
      <c r="A221" s="66" t="s">
        <v>79</v>
      </c>
      <c r="B221" s="66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>
        <v>4.0</v>
      </c>
      <c r="N221" s="35">
        <v>2.0</v>
      </c>
      <c r="O221" s="35">
        <v>3.0</v>
      </c>
      <c r="P221" s="35">
        <v>3.0</v>
      </c>
      <c r="Q221" s="35">
        <v>4.0</v>
      </c>
      <c r="R221" s="35">
        <v>7.0</v>
      </c>
      <c r="S221" s="35">
        <v>3.0</v>
      </c>
      <c r="T221" s="35">
        <v>3.0</v>
      </c>
      <c r="U221" s="35">
        <v>5.0</v>
      </c>
      <c r="V221" s="35">
        <v>4.0</v>
      </c>
      <c r="W221" s="72">
        <v>5.0</v>
      </c>
      <c r="X221" s="72">
        <v>4.0</v>
      </c>
      <c r="Y221" s="35">
        <v>2.0</v>
      </c>
      <c r="Z221" s="35">
        <v>9.0</v>
      </c>
    </row>
    <row r="222" hidden="1" outlineLevel="1">
      <c r="A222" s="66" t="s">
        <v>80</v>
      </c>
      <c r="B222" s="66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>
        <v>7.0</v>
      </c>
      <c r="N222" s="35">
        <v>5.0</v>
      </c>
      <c r="O222" s="35">
        <v>13.0</v>
      </c>
      <c r="P222" s="35">
        <v>7.0</v>
      </c>
      <c r="Q222" s="35">
        <v>6.0</v>
      </c>
      <c r="R222" s="35">
        <v>5.0</v>
      </c>
      <c r="S222" s="35">
        <v>8.0</v>
      </c>
      <c r="T222" s="35">
        <v>8.0</v>
      </c>
      <c r="U222" s="35">
        <v>13.0</v>
      </c>
      <c r="V222" s="35">
        <v>3.0</v>
      </c>
      <c r="W222" s="72">
        <v>7.0</v>
      </c>
      <c r="X222" s="72">
        <v>10.0</v>
      </c>
      <c r="Y222" s="12">
        <v>8.0</v>
      </c>
      <c r="Z222" s="35">
        <v>9.0</v>
      </c>
    </row>
    <row r="223" hidden="1" outlineLevel="1">
      <c r="A223" s="66"/>
      <c r="B223" s="66" t="s">
        <v>73</v>
      </c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72"/>
      <c r="X223" s="40"/>
      <c r="Z223" s="35"/>
    </row>
    <row r="224" hidden="1" outlineLevel="1">
      <c r="A224" s="66" t="s">
        <v>79</v>
      </c>
      <c r="B224" s="66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>
        <v>4.0</v>
      </c>
      <c r="N224" s="35">
        <v>5.0</v>
      </c>
      <c r="O224" s="35">
        <v>8.0</v>
      </c>
      <c r="P224" s="35">
        <v>6.0</v>
      </c>
      <c r="Q224" s="35">
        <v>18.0</v>
      </c>
      <c r="R224" s="35">
        <v>9.0</v>
      </c>
      <c r="S224" s="35">
        <v>7.0</v>
      </c>
      <c r="T224" s="35">
        <v>6.0</v>
      </c>
      <c r="U224" s="35">
        <v>7.0</v>
      </c>
      <c r="V224" s="35">
        <v>4.0</v>
      </c>
      <c r="W224" s="35">
        <v>5.0</v>
      </c>
      <c r="X224" s="35">
        <v>17.0</v>
      </c>
      <c r="Y224" s="35">
        <v>6.0</v>
      </c>
      <c r="Z224" s="35">
        <v>2.0</v>
      </c>
    </row>
    <row r="225" hidden="1" outlineLevel="1">
      <c r="A225" s="66" t="s">
        <v>80</v>
      </c>
      <c r="B225" s="66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>
        <v>2.0</v>
      </c>
      <c r="N225" s="35">
        <v>5.0</v>
      </c>
      <c r="O225" s="35">
        <v>3.0</v>
      </c>
      <c r="P225" s="35">
        <v>6.0</v>
      </c>
      <c r="Q225" s="35">
        <v>3.0</v>
      </c>
      <c r="R225" s="35">
        <v>9.0</v>
      </c>
      <c r="S225" s="35">
        <v>10.0</v>
      </c>
      <c r="T225" s="35">
        <v>3.0</v>
      </c>
      <c r="U225" s="35">
        <v>10.0</v>
      </c>
      <c r="V225" s="35">
        <v>6.0</v>
      </c>
      <c r="W225" s="35">
        <v>6.0</v>
      </c>
      <c r="X225" s="35">
        <v>8.0</v>
      </c>
      <c r="Y225" s="35">
        <v>3.0</v>
      </c>
      <c r="Z225" s="35">
        <v>5.0</v>
      </c>
    </row>
    <row r="226" hidden="1" outlineLevel="1">
      <c r="A226" s="66"/>
      <c r="B226" s="66" t="s">
        <v>74</v>
      </c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72"/>
      <c r="X226" s="40"/>
    </row>
    <row r="227" hidden="1" outlineLevel="1">
      <c r="A227" s="66" t="s">
        <v>79</v>
      </c>
      <c r="B227" s="4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>
        <v>2.0</v>
      </c>
      <c r="N227" s="35">
        <v>0.0</v>
      </c>
      <c r="O227" s="35">
        <v>0.0</v>
      </c>
      <c r="P227" s="35">
        <v>3.0</v>
      </c>
      <c r="Q227" s="35">
        <v>6.0</v>
      </c>
      <c r="R227" s="35">
        <v>6.0</v>
      </c>
      <c r="S227" s="35">
        <v>1.0</v>
      </c>
      <c r="T227" s="35">
        <v>2.0</v>
      </c>
      <c r="U227" s="35">
        <v>3.0</v>
      </c>
      <c r="V227" s="35">
        <v>9.0</v>
      </c>
      <c r="W227" s="72">
        <v>0.0</v>
      </c>
      <c r="X227" s="72">
        <v>3.0</v>
      </c>
      <c r="Y227" s="12">
        <v>5.0</v>
      </c>
      <c r="Z227" s="12">
        <v>5.0</v>
      </c>
    </row>
    <row r="228" hidden="1" outlineLevel="1">
      <c r="A228" s="66" t="s">
        <v>80</v>
      </c>
      <c r="B228" s="16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>
        <v>6.0</v>
      </c>
      <c r="N228" s="35">
        <v>5.0</v>
      </c>
      <c r="O228" s="35">
        <v>1.0</v>
      </c>
      <c r="P228" s="35">
        <v>6.0</v>
      </c>
      <c r="Q228" s="35">
        <v>8.0</v>
      </c>
      <c r="R228" s="35">
        <v>4.0</v>
      </c>
      <c r="S228" s="35">
        <v>5.0</v>
      </c>
      <c r="T228" s="35">
        <v>5.0</v>
      </c>
      <c r="U228" s="35">
        <v>5.0</v>
      </c>
      <c r="V228" s="35">
        <v>8.0</v>
      </c>
      <c r="W228" s="72">
        <v>5.0</v>
      </c>
      <c r="X228" s="72">
        <v>6.0</v>
      </c>
      <c r="Y228" s="12">
        <v>7.0</v>
      </c>
      <c r="Z228" s="12">
        <v>11.0</v>
      </c>
    </row>
    <row r="229" hidden="1" outlineLevel="1">
      <c r="A229" s="68"/>
      <c r="B229" s="49" t="s">
        <v>54</v>
      </c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40"/>
      <c r="X229" s="40"/>
    </row>
    <row r="230" hidden="1" outlineLevel="1">
      <c r="A230" s="68"/>
      <c r="B230" s="12" t="s">
        <v>60</v>
      </c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</row>
    <row r="231" hidden="1" outlineLevel="1">
      <c r="A231" s="66" t="s">
        <v>79</v>
      </c>
      <c r="B231" s="68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</row>
    <row r="232" hidden="1" outlineLevel="1">
      <c r="A232" s="66" t="s">
        <v>80</v>
      </c>
      <c r="B232" s="68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</row>
    <row r="233" hidden="1" outlineLevel="1">
      <c r="A233" s="68"/>
      <c r="B233" s="68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</row>
    <row r="234">
      <c r="A234" s="54" t="s">
        <v>84</v>
      </c>
      <c r="B234" s="31" t="s">
        <v>38</v>
      </c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</row>
    <row r="235">
      <c r="A235" s="68"/>
      <c r="B235" s="16" t="s">
        <v>57</v>
      </c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</row>
    <row r="236">
      <c r="A236" s="66" t="s">
        <v>48</v>
      </c>
      <c r="B236" s="16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>
        <v>1.0</v>
      </c>
      <c r="N236" s="35">
        <v>0.0</v>
      </c>
      <c r="O236" s="35">
        <v>2.0</v>
      </c>
      <c r="P236" s="35">
        <v>0.0</v>
      </c>
      <c r="Q236" s="35">
        <v>1.0</v>
      </c>
      <c r="R236" s="35">
        <v>0.0</v>
      </c>
      <c r="S236" s="35">
        <v>2.0</v>
      </c>
      <c r="T236" s="35">
        <v>2.0</v>
      </c>
      <c r="U236" s="35">
        <v>2.0</v>
      </c>
      <c r="V236" s="35">
        <v>0.0</v>
      </c>
      <c r="W236" s="72">
        <v>1.0</v>
      </c>
      <c r="X236" s="72">
        <v>2.0</v>
      </c>
      <c r="Y236" s="12">
        <v>1.0</v>
      </c>
    </row>
    <row r="237">
      <c r="A237" s="66" t="s">
        <v>47</v>
      </c>
      <c r="B237" s="16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>
        <v>4.0</v>
      </c>
      <c r="N237" s="35">
        <v>8.0</v>
      </c>
      <c r="O237" s="35">
        <v>5.0</v>
      </c>
      <c r="P237" s="35">
        <v>6.0</v>
      </c>
      <c r="Q237" s="35">
        <v>11.0</v>
      </c>
      <c r="R237" s="35">
        <v>4.0</v>
      </c>
      <c r="S237" s="35">
        <v>5.0</v>
      </c>
      <c r="T237" s="35">
        <v>5.0</v>
      </c>
      <c r="U237" s="35">
        <v>7.0</v>
      </c>
      <c r="V237" s="35">
        <v>3.0</v>
      </c>
      <c r="W237" s="72">
        <v>3.0</v>
      </c>
      <c r="X237" s="72">
        <v>2.0</v>
      </c>
      <c r="Y237" s="12">
        <v>5.0</v>
      </c>
    </row>
    <row r="238">
      <c r="A238" s="66"/>
      <c r="B238" s="16" t="s">
        <v>58</v>
      </c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72"/>
      <c r="X238" s="40"/>
    </row>
    <row r="239">
      <c r="A239" s="66" t="s">
        <v>48</v>
      </c>
      <c r="B239" s="16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>
        <v>6.0</v>
      </c>
      <c r="N239" s="35">
        <v>3.0</v>
      </c>
      <c r="O239" s="35">
        <v>1.0</v>
      </c>
      <c r="P239" s="35">
        <v>0.0</v>
      </c>
      <c r="Q239" s="35">
        <v>3.0</v>
      </c>
      <c r="R239" s="35">
        <v>4.0</v>
      </c>
      <c r="S239" s="35">
        <v>1.0</v>
      </c>
      <c r="T239" s="35">
        <v>4.0</v>
      </c>
      <c r="U239" s="35">
        <v>3.0</v>
      </c>
      <c r="V239" s="35">
        <v>2.0</v>
      </c>
      <c r="W239" s="72">
        <v>5.0</v>
      </c>
      <c r="X239" s="35">
        <v>1.0</v>
      </c>
      <c r="Y239" s="12">
        <v>7.0</v>
      </c>
      <c r="Z239" s="12">
        <v>3.0</v>
      </c>
    </row>
    <row r="240">
      <c r="A240" s="66" t="s">
        <v>47</v>
      </c>
      <c r="B240" s="16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>
        <v>14.0</v>
      </c>
      <c r="N240" s="35">
        <v>14.0</v>
      </c>
      <c r="O240" s="35">
        <v>10.0</v>
      </c>
      <c r="P240" s="35">
        <v>6.0</v>
      </c>
      <c r="Q240" s="35">
        <v>8.0</v>
      </c>
      <c r="R240" s="35">
        <v>8.0</v>
      </c>
      <c r="S240" s="35">
        <v>7.0</v>
      </c>
      <c r="T240" s="35">
        <v>9.0</v>
      </c>
      <c r="U240" s="35">
        <v>9.0</v>
      </c>
      <c r="V240" s="35">
        <v>6.0</v>
      </c>
      <c r="W240" s="72">
        <v>6.0</v>
      </c>
      <c r="X240" s="35">
        <v>5.0</v>
      </c>
      <c r="Y240" s="12">
        <v>5.0</v>
      </c>
      <c r="Z240" s="12">
        <v>12.0</v>
      </c>
    </row>
    <row r="241">
      <c r="A241" s="66"/>
      <c r="B241" s="16" t="s">
        <v>59</v>
      </c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72"/>
      <c r="X241" s="40"/>
    </row>
    <row r="242">
      <c r="A242" s="66" t="s">
        <v>48</v>
      </c>
      <c r="B242" s="16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>
        <v>1.0</v>
      </c>
      <c r="N242" s="35">
        <v>0.0</v>
      </c>
      <c r="O242" s="35">
        <v>5.0</v>
      </c>
      <c r="P242" s="35">
        <v>3.0</v>
      </c>
      <c r="Q242" s="35">
        <v>10.0</v>
      </c>
      <c r="R242" s="35">
        <v>5.0</v>
      </c>
      <c r="S242" s="35">
        <v>10.0</v>
      </c>
      <c r="T242" s="35">
        <v>9.0</v>
      </c>
      <c r="U242" s="35">
        <v>9.0</v>
      </c>
      <c r="V242" s="35">
        <v>5.0</v>
      </c>
      <c r="W242" s="35">
        <v>4.0</v>
      </c>
      <c r="X242" s="35">
        <v>10.0</v>
      </c>
      <c r="Y242" s="35">
        <v>6.0</v>
      </c>
      <c r="Z242" s="72">
        <v>6.0</v>
      </c>
    </row>
    <row r="243">
      <c r="A243" s="66" t="s">
        <v>47</v>
      </c>
      <c r="B243" s="16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>
        <v>0.0</v>
      </c>
      <c r="N243" s="35">
        <v>0.0</v>
      </c>
      <c r="O243" s="35">
        <v>9.0</v>
      </c>
      <c r="P243" s="35">
        <v>7.0</v>
      </c>
      <c r="Q243" s="35">
        <v>3.0</v>
      </c>
      <c r="R243" s="35">
        <v>11.0</v>
      </c>
      <c r="S243" s="35">
        <v>6.0</v>
      </c>
      <c r="T243" s="35">
        <v>1.0</v>
      </c>
      <c r="U243" s="35">
        <v>3.0</v>
      </c>
      <c r="V243" s="35">
        <v>7.0</v>
      </c>
      <c r="W243" s="35">
        <v>16.0</v>
      </c>
      <c r="X243" s="35">
        <v>14.0</v>
      </c>
      <c r="Y243" s="35">
        <v>7.0</v>
      </c>
      <c r="Z243" s="72">
        <v>10.0</v>
      </c>
    </row>
    <row r="244">
      <c r="A244" s="66"/>
      <c r="B244" s="16" t="s">
        <v>60</v>
      </c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72"/>
      <c r="X244" s="40"/>
    </row>
    <row r="245">
      <c r="A245" s="66" t="s">
        <v>48</v>
      </c>
      <c r="B245" s="16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>
        <v>3.0</v>
      </c>
      <c r="N245" s="35">
        <v>2.0</v>
      </c>
      <c r="O245" s="35">
        <v>1.0</v>
      </c>
      <c r="P245" s="35">
        <v>0.0</v>
      </c>
      <c r="Q245" s="35">
        <v>1.0</v>
      </c>
      <c r="R245" s="35">
        <v>0.0</v>
      </c>
      <c r="S245" s="35">
        <v>1.0</v>
      </c>
      <c r="T245" s="35">
        <v>0.0</v>
      </c>
      <c r="U245" s="35">
        <v>2.0</v>
      </c>
      <c r="V245" s="35">
        <v>1.0</v>
      </c>
      <c r="W245" s="35">
        <v>0.0</v>
      </c>
      <c r="X245" s="35">
        <v>2.0</v>
      </c>
      <c r="Y245" s="12">
        <v>2.0</v>
      </c>
      <c r="Z245" s="12">
        <v>1.0</v>
      </c>
    </row>
    <row r="246">
      <c r="A246" s="66" t="s">
        <v>47</v>
      </c>
      <c r="B246" s="16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>
        <v>6.0</v>
      </c>
      <c r="N246" s="35">
        <v>3.0</v>
      </c>
      <c r="O246" s="35">
        <v>2.0</v>
      </c>
      <c r="P246" s="35">
        <v>7.0</v>
      </c>
      <c r="Q246" s="35">
        <v>7.0</v>
      </c>
      <c r="R246" s="35">
        <v>4.0</v>
      </c>
      <c r="S246" s="35">
        <v>4.0</v>
      </c>
      <c r="T246" s="35">
        <v>5.0</v>
      </c>
      <c r="U246" s="35">
        <v>3.0</v>
      </c>
      <c r="V246" s="35">
        <v>7.0</v>
      </c>
      <c r="W246" s="35">
        <v>3.0</v>
      </c>
      <c r="X246" s="35">
        <v>7.0</v>
      </c>
      <c r="Y246" s="12">
        <v>7.0</v>
      </c>
      <c r="Z246" s="12">
        <v>7.0</v>
      </c>
    </row>
    <row r="247">
      <c r="A247" s="66"/>
      <c r="B247" s="16" t="s">
        <v>61</v>
      </c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72"/>
      <c r="X247" s="40"/>
    </row>
    <row r="248">
      <c r="A248" s="66" t="s">
        <v>48</v>
      </c>
      <c r="B248" s="16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>
        <v>7.0</v>
      </c>
      <c r="N248" s="35">
        <v>8.0</v>
      </c>
      <c r="O248" s="35">
        <v>16.0</v>
      </c>
      <c r="P248" s="35">
        <v>10.0</v>
      </c>
      <c r="Q248" s="35">
        <v>12.0</v>
      </c>
      <c r="R248" s="35">
        <v>13.0</v>
      </c>
      <c r="S248" s="35">
        <v>8.0</v>
      </c>
      <c r="T248" s="35">
        <v>9.0</v>
      </c>
      <c r="U248" s="35">
        <v>17.0</v>
      </c>
      <c r="V248" s="35">
        <v>15.0</v>
      </c>
      <c r="W248" s="35">
        <v>6.0</v>
      </c>
      <c r="X248" s="35">
        <v>5.0</v>
      </c>
      <c r="Y248" s="35"/>
      <c r="Z248" s="35"/>
    </row>
    <row r="249">
      <c r="A249" s="66" t="s">
        <v>47</v>
      </c>
      <c r="B249" s="16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>
        <v>0.0</v>
      </c>
      <c r="N249" s="35">
        <v>0.0</v>
      </c>
      <c r="O249" s="35">
        <v>0.0</v>
      </c>
      <c r="P249" s="35">
        <v>0.0</v>
      </c>
      <c r="Q249" s="35">
        <v>0.0</v>
      </c>
      <c r="R249" s="35">
        <v>0.0</v>
      </c>
      <c r="S249" s="35">
        <v>0.0</v>
      </c>
      <c r="T249" s="35">
        <v>0.0</v>
      </c>
      <c r="U249" s="35">
        <v>0.0</v>
      </c>
      <c r="V249" s="35">
        <v>0.0</v>
      </c>
      <c r="W249" s="35">
        <v>7.0</v>
      </c>
      <c r="X249" s="35">
        <v>4.0</v>
      </c>
      <c r="Y249" s="35"/>
      <c r="Z249" s="35"/>
    </row>
    <row r="250">
      <c r="A250" s="66"/>
      <c r="B250" s="16" t="s">
        <v>62</v>
      </c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72"/>
      <c r="X250" s="40"/>
    </row>
    <row r="251">
      <c r="A251" s="66" t="s">
        <v>48</v>
      </c>
      <c r="B251" s="16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>
        <v>11.0</v>
      </c>
      <c r="N251" s="35">
        <v>8.0</v>
      </c>
      <c r="O251" s="35">
        <v>5.0</v>
      </c>
      <c r="P251" s="35">
        <v>7.0</v>
      </c>
      <c r="Q251" s="35">
        <v>6.0</v>
      </c>
      <c r="R251" s="35">
        <v>8.0</v>
      </c>
      <c r="S251" s="35">
        <v>10.0</v>
      </c>
      <c r="T251" s="35">
        <v>7.0</v>
      </c>
      <c r="U251" s="35">
        <v>7.0</v>
      </c>
      <c r="V251" s="35">
        <v>3.0</v>
      </c>
      <c r="W251" s="35">
        <v>6.0</v>
      </c>
      <c r="X251" s="35">
        <v>5.0</v>
      </c>
      <c r="Y251" s="69"/>
    </row>
    <row r="252">
      <c r="A252" s="66" t="s">
        <v>47</v>
      </c>
      <c r="B252" s="16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>
        <v>0.0</v>
      </c>
      <c r="N252" s="35">
        <v>0.0</v>
      </c>
      <c r="O252" s="35">
        <v>7.0</v>
      </c>
      <c r="P252" s="35">
        <v>0.0</v>
      </c>
      <c r="Q252" s="35">
        <v>7.0</v>
      </c>
      <c r="R252" s="35">
        <v>1.0</v>
      </c>
      <c r="S252" s="35">
        <v>5.0</v>
      </c>
      <c r="T252" s="35">
        <v>9.0</v>
      </c>
      <c r="U252" s="35">
        <v>10.0</v>
      </c>
      <c r="V252" s="35">
        <v>8.0</v>
      </c>
      <c r="W252" s="35">
        <v>8.0</v>
      </c>
      <c r="X252" s="35">
        <v>10.0</v>
      </c>
      <c r="Y252" s="69"/>
    </row>
    <row r="253">
      <c r="A253" s="66"/>
      <c r="B253" s="16" t="s">
        <v>63</v>
      </c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</row>
    <row r="254">
      <c r="A254" s="66" t="s">
        <v>48</v>
      </c>
      <c r="B254" s="1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>
        <v>1.0</v>
      </c>
      <c r="N254" s="35">
        <v>2.0</v>
      </c>
      <c r="O254" s="35">
        <v>2.0</v>
      </c>
      <c r="P254" s="35">
        <v>0.0</v>
      </c>
      <c r="Q254" s="35">
        <v>0.0</v>
      </c>
      <c r="R254" s="35">
        <v>1.0</v>
      </c>
      <c r="S254" s="35">
        <v>0.0</v>
      </c>
      <c r="T254" s="35">
        <v>0.0</v>
      </c>
      <c r="U254" s="35">
        <v>0.0</v>
      </c>
      <c r="V254" s="35">
        <v>1.0</v>
      </c>
      <c r="W254" s="35">
        <v>2.0</v>
      </c>
      <c r="X254" s="35">
        <v>1.0</v>
      </c>
      <c r="Y254" s="12">
        <v>5.0</v>
      </c>
      <c r="Z254" s="71">
        <v>5.0</v>
      </c>
      <c r="AA254" s="12">
        <v>3.0</v>
      </c>
    </row>
    <row r="255">
      <c r="A255" s="66" t="s">
        <v>47</v>
      </c>
      <c r="B255" s="1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>
        <v>0.0</v>
      </c>
      <c r="N255" s="35">
        <v>2.0</v>
      </c>
      <c r="O255" s="35">
        <v>4.0</v>
      </c>
      <c r="P255" s="35">
        <v>3.0</v>
      </c>
      <c r="Q255" s="35">
        <v>0.0</v>
      </c>
      <c r="R255" s="35">
        <v>3.0</v>
      </c>
      <c r="S255" s="35">
        <v>3.0</v>
      </c>
      <c r="T255" s="35">
        <v>2.0</v>
      </c>
      <c r="U255" s="35">
        <v>2.0</v>
      </c>
      <c r="V255" s="35">
        <v>2.0</v>
      </c>
      <c r="W255" s="35">
        <v>2.0</v>
      </c>
      <c r="X255" s="35">
        <v>5.0</v>
      </c>
      <c r="Y255" s="12">
        <v>13.0</v>
      </c>
      <c r="Z255" s="71">
        <v>4.0</v>
      </c>
      <c r="AA255" s="12">
        <v>4.0</v>
      </c>
    </row>
    <row r="256">
      <c r="A256" s="66"/>
      <c r="B256" s="16" t="s">
        <v>64</v>
      </c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72"/>
      <c r="X256" s="40"/>
    </row>
    <row r="257">
      <c r="A257" s="66" t="s">
        <v>48</v>
      </c>
      <c r="B257" s="17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72"/>
      <c r="X257" s="72">
        <v>2.0</v>
      </c>
      <c r="Y257" s="72">
        <v>0.0</v>
      </c>
      <c r="Z257" s="12">
        <v>2.0</v>
      </c>
    </row>
    <row r="258">
      <c r="A258" s="66" t="s">
        <v>47</v>
      </c>
      <c r="B258" s="17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72"/>
      <c r="X258" s="72">
        <v>2.0</v>
      </c>
      <c r="Y258" s="72">
        <v>2.0</v>
      </c>
      <c r="Z258" s="12">
        <v>1.0</v>
      </c>
    </row>
    <row r="259">
      <c r="A259" s="66"/>
      <c r="B259" s="12" t="s">
        <v>65</v>
      </c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72"/>
      <c r="X259" s="40"/>
    </row>
    <row r="260">
      <c r="A260" s="66" t="s">
        <v>48</v>
      </c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72"/>
      <c r="X260" s="40"/>
      <c r="Y260" s="12">
        <v>9.0</v>
      </c>
      <c r="Z260" s="12">
        <v>5.0</v>
      </c>
    </row>
    <row r="261">
      <c r="A261" s="66" t="s">
        <v>47</v>
      </c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72"/>
      <c r="X261" s="40"/>
      <c r="Y261" s="12">
        <v>6.0</v>
      </c>
      <c r="Z261" s="12">
        <v>4.0</v>
      </c>
    </row>
    <row r="262">
      <c r="A262" s="66"/>
      <c r="B262" s="17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72"/>
      <c r="X262" s="40"/>
    </row>
    <row r="263">
      <c r="A263" s="66"/>
      <c r="B263" s="42" t="s">
        <v>66</v>
      </c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72"/>
      <c r="X263" s="40"/>
    </row>
    <row r="264">
      <c r="A264" s="66"/>
      <c r="B264" s="16" t="s">
        <v>67</v>
      </c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72"/>
      <c r="X264" s="40"/>
    </row>
    <row r="265">
      <c r="A265" s="66" t="s">
        <v>48</v>
      </c>
      <c r="B265" s="16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>
        <v>0.0</v>
      </c>
      <c r="N265" s="35">
        <v>1.0</v>
      </c>
      <c r="O265" s="35">
        <v>0.0</v>
      </c>
      <c r="P265" s="35">
        <v>2.0</v>
      </c>
      <c r="Q265" s="35">
        <v>1.0</v>
      </c>
      <c r="R265" s="35">
        <v>2.0</v>
      </c>
      <c r="S265" s="35">
        <v>1.0</v>
      </c>
      <c r="T265" s="35">
        <v>1.0</v>
      </c>
      <c r="U265" s="35">
        <v>0.0</v>
      </c>
      <c r="V265" s="35">
        <v>0.0</v>
      </c>
      <c r="W265" s="72">
        <v>0.0</v>
      </c>
      <c r="X265" s="72">
        <v>1.0</v>
      </c>
      <c r="Y265" s="12">
        <v>1.0</v>
      </c>
    </row>
    <row r="266">
      <c r="A266" s="66" t="s">
        <v>47</v>
      </c>
      <c r="B266" s="16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>
        <v>5.0</v>
      </c>
      <c r="N266" s="35">
        <v>2.0</v>
      </c>
      <c r="O266" s="35">
        <v>2.0</v>
      </c>
      <c r="P266" s="35">
        <v>3.0</v>
      </c>
      <c r="Q266" s="35">
        <v>2.0</v>
      </c>
      <c r="R266" s="35">
        <v>2.0</v>
      </c>
      <c r="S266" s="35">
        <v>2.0</v>
      </c>
      <c r="T266" s="35">
        <v>0.0</v>
      </c>
      <c r="U266" s="35">
        <v>0.0</v>
      </c>
      <c r="V266" s="35">
        <v>0.0</v>
      </c>
      <c r="W266" s="72">
        <v>2.0</v>
      </c>
      <c r="X266" s="72">
        <v>3.0</v>
      </c>
      <c r="Y266" s="12">
        <v>2.0</v>
      </c>
      <c r="Z266" s="12">
        <v>2.0</v>
      </c>
      <c r="AA266" s="12">
        <v>3.0</v>
      </c>
    </row>
    <row r="267">
      <c r="A267" s="66"/>
      <c r="B267" s="16" t="s">
        <v>68</v>
      </c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72"/>
      <c r="X267" s="40"/>
    </row>
    <row r="268">
      <c r="A268" s="66" t="s">
        <v>48</v>
      </c>
      <c r="B268" s="16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>
        <v>6.0</v>
      </c>
      <c r="N268" s="35">
        <v>4.0</v>
      </c>
      <c r="O268" s="35">
        <v>9.0</v>
      </c>
      <c r="P268" s="35">
        <v>10.0</v>
      </c>
      <c r="Q268" s="35">
        <v>6.0</v>
      </c>
      <c r="R268" s="35">
        <v>5.0</v>
      </c>
      <c r="S268" s="35">
        <v>4.0</v>
      </c>
      <c r="T268" s="35">
        <v>3.0</v>
      </c>
      <c r="U268" s="35">
        <v>3.0</v>
      </c>
      <c r="V268" s="35">
        <v>0.0</v>
      </c>
      <c r="W268" s="73">
        <v>0.0</v>
      </c>
      <c r="X268" s="72">
        <v>0.0</v>
      </c>
      <c r="Y268" s="12">
        <v>3.0</v>
      </c>
      <c r="Z268" s="12">
        <v>2.0</v>
      </c>
      <c r="AA268" s="12">
        <v>2.0</v>
      </c>
    </row>
    <row r="269">
      <c r="A269" s="66" t="s">
        <v>47</v>
      </c>
      <c r="B269" s="16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>
        <v>2.0</v>
      </c>
      <c r="N269" s="35">
        <v>1.0</v>
      </c>
      <c r="O269" s="35">
        <v>1.0</v>
      </c>
      <c r="P269" s="35"/>
      <c r="Q269" s="35"/>
      <c r="R269" s="35"/>
      <c r="S269" s="35">
        <v>2.0</v>
      </c>
      <c r="T269" s="35">
        <v>1.0</v>
      </c>
      <c r="U269" s="35">
        <v>1.0</v>
      </c>
      <c r="V269" s="35">
        <v>4.0</v>
      </c>
      <c r="W269" s="73">
        <v>9.0</v>
      </c>
      <c r="X269" s="72">
        <v>8.0</v>
      </c>
      <c r="Y269" s="12">
        <v>8.0</v>
      </c>
      <c r="Z269" s="12">
        <v>6.0</v>
      </c>
      <c r="AA269" s="12">
        <v>6.0</v>
      </c>
    </row>
    <row r="270">
      <c r="A270" s="66"/>
      <c r="B270" s="16" t="s">
        <v>69</v>
      </c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35"/>
      <c r="O270" s="35"/>
      <c r="P270" s="35"/>
      <c r="Q270" s="35"/>
      <c r="R270" s="35"/>
      <c r="S270" s="35"/>
      <c r="T270" s="35"/>
      <c r="U270" s="35"/>
      <c r="V270" s="35"/>
      <c r="W270" s="72"/>
      <c r="X270" s="40"/>
    </row>
    <row r="271">
      <c r="A271" s="66" t="s">
        <v>48</v>
      </c>
      <c r="B271" s="16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>
        <v>1.0</v>
      </c>
      <c r="N271" s="35">
        <v>1.0</v>
      </c>
      <c r="O271" s="35">
        <v>1.0</v>
      </c>
      <c r="P271" s="35">
        <v>1.0</v>
      </c>
      <c r="Q271" s="35">
        <v>2.0</v>
      </c>
      <c r="R271" s="35">
        <v>2.0</v>
      </c>
      <c r="S271" s="35">
        <v>2.0</v>
      </c>
      <c r="T271" s="35">
        <v>2.0</v>
      </c>
      <c r="U271" s="35"/>
      <c r="V271" s="35">
        <v>2.0</v>
      </c>
      <c r="W271" s="72">
        <v>1.0</v>
      </c>
      <c r="X271" s="72">
        <v>2.0</v>
      </c>
      <c r="Y271" s="72">
        <v>1.0</v>
      </c>
      <c r="Z271" s="72">
        <v>2.0</v>
      </c>
      <c r="AA271" s="12">
        <v>2.0</v>
      </c>
    </row>
    <row r="272">
      <c r="A272" s="66" t="s">
        <v>47</v>
      </c>
      <c r="B272" s="16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>
        <v>7.0</v>
      </c>
      <c r="N272" s="35">
        <v>5.0</v>
      </c>
      <c r="O272" s="35">
        <v>5.0</v>
      </c>
      <c r="P272" s="35">
        <v>5.0</v>
      </c>
      <c r="Q272" s="35">
        <v>5.0</v>
      </c>
      <c r="R272" s="35">
        <v>1.0</v>
      </c>
      <c r="S272" s="35">
        <v>4.0</v>
      </c>
      <c r="T272" s="35">
        <v>3.0</v>
      </c>
      <c r="U272" s="35">
        <v>5.0</v>
      </c>
      <c r="V272" s="35">
        <v>3.0</v>
      </c>
      <c r="W272" s="72">
        <v>7.0</v>
      </c>
      <c r="X272" s="72">
        <v>7.0</v>
      </c>
      <c r="Y272" s="72">
        <v>6.0</v>
      </c>
      <c r="Z272" s="72">
        <v>2.0</v>
      </c>
      <c r="AA272" s="12">
        <v>7.0</v>
      </c>
    </row>
    <row r="273">
      <c r="A273" s="66"/>
      <c r="B273" s="16" t="s">
        <v>70</v>
      </c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72"/>
      <c r="X273" s="40"/>
    </row>
    <row r="274">
      <c r="A274" s="66" t="s">
        <v>48</v>
      </c>
      <c r="B274" s="16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>
        <v>0.0</v>
      </c>
      <c r="N274" s="35">
        <v>1.0</v>
      </c>
      <c r="O274" s="35">
        <v>1.0</v>
      </c>
      <c r="P274" s="35">
        <v>0.0</v>
      </c>
      <c r="Q274" s="35">
        <v>2.0</v>
      </c>
      <c r="R274" s="35">
        <v>1.0</v>
      </c>
      <c r="S274" s="35">
        <v>7.0</v>
      </c>
      <c r="T274" s="35">
        <v>3.0</v>
      </c>
      <c r="U274" s="35">
        <v>3.0</v>
      </c>
      <c r="V274" s="35">
        <v>4.0</v>
      </c>
      <c r="W274" s="72">
        <v>4.0</v>
      </c>
      <c r="X274" s="72">
        <v>3.0</v>
      </c>
      <c r="Y274" s="35">
        <v>4.0</v>
      </c>
    </row>
    <row r="275">
      <c r="A275" s="66" t="s">
        <v>47</v>
      </c>
      <c r="B275" s="16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>
        <v>0.0</v>
      </c>
      <c r="N275" s="35">
        <v>3.0</v>
      </c>
      <c r="O275" s="35">
        <v>4.0</v>
      </c>
      <c r="P275" s="35">
        <v>0.0</v>
      </c>
      <c r="Q275" s="35">
        <v>2.0</v>
      </c>
      <c r="R275" s="35">
        <v>3.0</v>
      </c>
      <c r="S275" s="35">
        <v>5.0</v>
      </c>
      <c r="T275" s="35">
        <v>2.0</v>
      </c>
      <c r="U275" s="35">
        <v>3.0</v>
      </c>
      <c r="V275" s="35">
        <v>2.0</v>
      </c>
      <c r="W275" s="72">
        <v>4.0</v>
      </c>
      <c r="X275" s="72">
        <v>4.0</v>
      </c>
      <c r="Y275" s="35">
        <v>3.0</v>
      </c>
    </row>
    <row r="276">
      <c r="A276" s="66"/>
      <c r="B276" s="48" t="s">
        <v>53</v>
      </c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72"/>
      <c r="X276" s="40"/>
      <c r="Z276" s="35"/>
    </row>
    <row r="277">
      <c r="A277" s="66"/>
      <c r="B277" s="66" t="s">
        <v>71</v>
      </c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72"/>
      <c r="X277" s="40"/>
      <c r="Z277" s="35"/>
    </row>
    <row r="278">
      <c r="A278" s="66" t="s">
        <v>48</v>
      </c>
      <c r="B278" s="66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>
        <v>0.0</v>
      </c>
      <c r="N278" s="35">
        <v>0.0</v>
      </c>
      <c r="O278" s="35">
        <v>0.0</v>
      </c>
      <c r="P278" s="35">
        <v>0.0</v>
      </c>
      <c r="Q278" s="35">
        <v>0.0</v>
      </c>
      <c r="R278" s="35">
        <v>0.0</v>
      </c>
      <c r="S278" s="35">
        <v>0.0</v>
      </c>
      <c r="T278" s="35">
        <v>0.0</v>
      </c>
      <c r="U278" s="35">
        <v>0.0</v>
      </c>
      <c r="V278" s="35">
        <v>0.0</v>
      </c>
      <c r="W278" s="72">
        <v>0.0</v>
      </c>
      <c r="X278" s="35">
        <v>0.0</v>
      </c>
      <c r="Y278" s="35">
        <v>9.0</v>
      </c>
      <c r="Z278" s="35">
        <v>2.0</v>
      </c>
    </row>
    <row r="279">
      <c r="A279" s="66" t="s">
        <v>47</v>
      </c>
      <c r="B279" s="66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>
        <v>0.0</v>
      </c>
      <c r="N279" s="35">
        <v>0.0</v>
      </c>
      <c r="O279" s="35">
        <v>0.0</v>
      </c>
      <c r="P279" s="35">
        <v>0.0</v>
      </c>
      <c r="Q279" s="35">
        <v>0.0</v>
      </c>
      <c r="R279" s="35">
        <v>0.0</v>
      </c>
      <c r="S279" s="35">
        <v>0.0</v>
      </c>
      <c r="T279" s="35">
        <v>0.0</v>
      </c>
      <c r="U279" s="35">
        <v>0.0</v>
      </c>
      <c r="V279" s="35">
        <v>0.0</v>
      </c>
      <c r="W279" s="72">
        <v>0.0</v>
      </c>
      <c r="X279" s="35">
        <v>0.0</v>
      </c>
      <c r="Y279" s="35">
        <v>20.0</v>
      </c>
      <c r="Z279" s="35">
        <v>15.0</v>
      </c>
    </row>
    <row r="280">
      <c r="A280" s="66"/>
      <c r="B280" s="66" t="s">
        <v>72</v>
      </c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72"/>
      <c r="X280" s="40"/>
      <c r="Z280" s="72"/>
    </row>
    <row r="281">
      <c r="A281" s="66" t="s">
        <v>48</v>
      </c>
      <c r="B281" s="66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>
        <v>5.0</v>
      </c>
      <c r="N281" s="35">
        <v>2.0</v>
      </c>
      <c r="O281" s="35">
        <v>3.0</v>
      </c>
      <c r="P281" s="35">
        <v>3.0</v>
      </c>
      <c r="Q281" s="35">
        <v>2.0</v>
      </c>
      <c r="R281" s="35">
        <v>2.0</v>
      </c>
      <c r="S281" s="35">
        <v>1.0</v>
      </c>
      <c r="T281" s="35">
        <v>4.0</v>
      </c>
      <c r="U281" s="35">
        <v>3.0</v>
      </c>
      <c r="V281" s="35">
        <v>1.0</v>
      </c>
      <c r="W281" s="35">
        <v>3.0</v>
      </c>
      <c r="X281" s="35">
        <v>7.0</v>
      </c>
      <c r="Y281" s="35">
        <v>2.0</v>
      </c>
      <c r="Z281" s="72">
        <v>4.0</v>
      </c>
    </row>
    <row r="282">
      <c r="A282" s="66" t="s">
        <v>47</v>
      </c>
      <c r="B282" s="66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>
        <v>6.0</v>
      </c>
      <c r="N282" s="35">
        <v>5.0</v>
      </c>
      <c r="O282" s="35">
        <v>13.0</v>
      </c>
      <c r="P282" s="35">
        <v>7.0</v>
      </c>
      <c r="Q282" s="35">
        <v>8.0</v>
      </c>
      <c r="R282" s="35">
        <v>10.0</v>
      </c>
      <c r="S282" s="35">
        <v>10.0</v>
      </c>
      <c r="T282" s="35">
        <v>7.0</v>
      </c>
      <c r="U282" s="35">
        <v>15.0</v>
      </c>
      <c r="V282" s="35">
        <v>6.0</v>
      </c>
      <c r="W282" s="35">
        <v>9.0</v>
      </c>
      <c r="X282" s="35">
        <v>7.0</v>
      </c>
      <c r="Y282" s="35">
        <v>8.0</v>
      </c>
      <c r="Z282" s="72">
        <v>14.0</v>
      </c>
    </row>
    <row r="283">
      <c r="A283" s="66"/>
      <c r="B283" s="66" t="s">
        <v>73</v>
      </c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Z283" s="72"/>
    </row>
    <row r="284">
      <c r="A284" s="66" t="s">
        <v>48</v>
      </c>
      <c r="B284" s="66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>
        <v>4.0</v>
      </c>
      <c r="N284" s="35">
        <v>5.0</v>
      </c>
      <c r="O284" s="35">
        <v>7.0</v>
      </c>
      <c r="P284" s="35">
        <v>9.0</v>
      </c>
      <c r="Q284" s="35">
        <v>11.0</v>
      </c>
      <c r="R284" s="35">
        <v>8.0</v>
      </c>
      <c r="S284" s="35">
        <v>10.0</v>
      </c>
      <c r="T284" s="35">
        <v>4.0</v>
      </c>
      <c r="U284" s="35">
        <v>12.0</v>
      </c>
      <c r="V284" s="35">
        <v>2.0</v>
      </c>
      <c r="W284" s="35">
        <v>4.0</v>
      </c>
      <c r="X284" s="35">
        <v>9.0</v>
      </c>
      <c r="Y284" s="35">
        <v>3.0</v>
      </c>
      <c r="Z284" s="35">
        <v>0.0</v>
      </c>
    </row>
    <row r="285">
      <c r="A285" s="66" t="s">
        <v>47</v>
      </c>
      <c r="B285" s="66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>
        <v>2.0</v>
      </c>
      <c r="N285" s="35">
        <v>5.0</v>
      </c>
      <c r="O285" s="35">
        <v>4.0</v>
      </c>
      <c r="P285" s="35">
        <v>3.0</v>
      </c>
      <c r="Q285" s="35">
        <v>11.0</v>
      </c>
      <c r="R285" s="35">
        <v>10.0</v>
      </c>
      <c r="S285" s="35">
        <v>7.0</v>
      </c>
      <c r="T285" s="35">
        <v>5.0</v>
      </c>
      <c r="U285" s="35">
        <v>5.0</v>
      </c>
      <c r="V285" s="35">
        <v>8.0</v>
      </c>
      <c r="W285" s="35">
        <v>7.0</v>
      </c>
      <c r="X285" s="35">
        <v>16.0</v>
      </c>
      <c r="Y285" s="35">
        <v>6.0</v>
      </c>
      <c r="Z285" s="35">
        <v>7.0</v>
      </c>
    </row>
    <row r="286">
      <c r="A286" s="66"/>
      <c r="B286" s="66" t="s">
        <v>74</v>
      </c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</row>
    <row r="287">
      <c r="A287" s="66" t="s">
        <v>48</v>
      </c>
      <c r="B287" s="4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>
        <v>3.0</v>
      </c>
      <c r="N287" s="35">
        <v>1.0</v>
      </c>
      <c r="O287" s="35">
        <v>1.0</v>
      </c>
      <c r="P287" s="35">
        <v>5.0</v>
      </c>
      <c r="Q287" s="35">
        <v>3.0</v>
      </c>
      <c r="R287" s="35">
        <v>4.0</v>
      </c>
      <c r="S287" s="35">
        <v>1.0</v>
      </c>
      <c r="T287" s="35">
        <v>2.0</v>
      </c>
      <c r="U287" s="35">
        <v>1.0</v>
      </c>
      <c r="V287" s="35">
        <v>3.0</v>
      </c>
      <c r="W287" s="35">
        <v>1.0</v>
      </c>
      <c r="X287" s="35">
        <v>3.0</v>
      </c>
      <c r="Y287" s="35">
        <v>3.0</v>
      </c>
      <c r="Z287" s="12">
        <v>3.0</v>
      </c>
    </row>
    <row r="288">
      <c r="A288" s="66" t="s">
        <v>47</v>
      </c>
      <c r="B288" s="16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>
        <v>0.0</v>
      </c>
      <c r="N288" s="35">
        <v>4.0</v>
      </c>
      <c r="O288" s="35">
        <v>0.0</v>
      </c>
      <c r="P288" s="35">
        <v>4.0</v>
      </c>
      <c r="Q288" s="35">
        <v>11.0</v>
      </c>
      <c r="R288" s="35">
        <v>6.0</v>
      </c>
      <c r="S288" s="35">
        <v>5.0</v>
      </c>
      <c r="T288" s="35">
        <v>5.0</v>
      </c>
      <c r="U288" s="35">
        <v>7.0</v>
      </c>
      <c r="V288" s="35">
        <v>14.0</v>
      </c>
      <c r="W288" s="35">
        <v>4.0</v>
      </c>
      <c r="X288" s="35">
        <v>6.0</v>
      </c>
      <c r="Y288" s="35">
        <v>9.0</v>
      </c>
      <c r="Z288" s="12">
        <v>13.0</v>
      </c>
    </row>
    <row r="289">
      <c r="A289" s="68"/>
      <c r="B289" s="49" t="s">
        <v>54</v>
      </c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Z289" s="35"/>
    </row>
    <row r="290">
      <c r="A290" s="68"/>
      <c r="B290" s="12" t="s">
        <v>60</v>
      </c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Z290" s="35"/>
    </row>
    <row r="291">
      <c r="A291" s="66" t="s">
        <v>48</v>
      </c>
      <c r="B291" s="68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>
        <v>10.0</v>
      </c>
      <c r="N291" s="35">
        <v>18.0</v>
      </c>
      <c r="O291" s="35">
        <v>21.0</v>
      </c>
      <c r="P291" s="35">
        <v>18.0</v>
      </c>
      <c r="Q291" s="35">
        <v>13.0</v>
      </c>
      <c r="R291" s="35">
        <v>6.0</v>
      </c>
      <c r="S291" s="35">
        <v>15.0</v>
      </c>
      <c r="T291" s="35">
        <v>13.0</v>
      </c>
      <c r="U291" s="35">
        <v>7.0</v>
      </c>
      <c r="V291" s="35">
        <v>22.0</v>
      </c>
      <c r="W291" s="35">
        <v>16.0</v>
      </c>
      <c r="X291" s="35">
        <v>67.0</v>
      </c>
      <c r="Y291" s="12">
        <v>62.0</v>
      </c>
      <c r="Z291" s="12">
        <v>28.0</v>
      </c>
      <c r="AA291" s="12">
        <v>33.0</v>
      </c>
    </row>
    <row r="292">
      <c r="A292" s="66" t="s">
        <v>47</v>
      </c>
      <c r="B292" s="68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>
        <v>3.0</v>
      </c>
      <c r="N292" s="35">
        <v>5.0</v>
      </c>
      <c r="O292" s="35">
        <v>3.0</v>
      </c>
      <c r="P292" s="35">
        <v>7.0</v>
      </c>
      <c r="Q292" s="35">
        <v>3.0</v>
      </c>
      <c r="R292" s="35">
        <v>3.0</v>
      </c>
      <c r="S292" s="35">
        <v>12.0</v>
      </c>
      <c r="T292" s="35">
        <v>1.0</v>
      </c>
      <c r="U292" s="35">
        <v>1.0</v>
      </c>
      <c r="V292" s="35">
        <v>2.0</v>
      </c>
      <c r="W292" s="35">
        <v>12.0</v>
      </c>
      <c r="X292" s="35">
        <v>18.0</v>
      </c>
      <c r="Y292" s="12">
        <v>13.0</v>
      </c>
      <c r="Z292" s="12">
        <v>10.0</v>
      </c>
      <c r="AA292" s="12">
        <v>12.0</v>
      </c>
    </row>
    <row r="293">
      <c r="A293" s="68"/>
      <c r="B293" s="68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</row>
    <row r="294">
      <c r="A294" s="68"/>
      <c r="B294" s="68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72"/>
      <c r="X294" s="40"/>
    </row>
    <row r="295">
      <c r="A295" s="68"/>
      <c r="B295" s="68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72"/>
      <c r="X295" s="40"/>
    </row>
    <row r="296">
      <c r="A296" s="68"/>
      <c r="B296" s="68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72"/>
      <c r="X296" s="40"/>
    </row>
    <row r="297">
      <c r="A297" s="68"/>
      <c r="B297" s="68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72"/>
      <c r="X297" s="40"/>
    </row>
    <row r="298">
      <c r="A298" s="68"/>
      <c r="B298" s="68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72"/>
      <c r="X298" s="40"/>
    </row>
    <row r="299">
      <c r="A299" s="68"/>
      <c r="B299" s="68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72"/>
      <c r="X299" s="40"/>
    </row>
    <row r="300">
      <c r="A300" s="68"/>
      <c r="B300" s="68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72"/>
      <c r="X300" s="40"/>
    </row>
    <row r="301">
      <c r="A301" s="68"/>
      <c r="B301" s="68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72"/>
      <c r="X301" s="40"/>
    </row>
    <row r="302">
      <c r="A302" s="68"/>
      <c r="B302" s="68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72"/>
      <c r="X302" s="40"/>
    </row>
    <row r="303">
      <c r="A303" s="68"/>
      <c r="B303" s="68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72"/>
      <c r="X303" s="40"/>
    </row>
    <row r="304">
      <c r="A304" s="68"/>
      <c r="B304" s="68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72"/>
      <c r="X304" s="40"/>
    </row>
    <row r="305">
      <c r="A305" s="68"/>
      <c r="B305" s="68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72"/>
      <c r="X305" s="40"/>
    </row>
    <row r="306">
      <c r="A306" s="68"/>
      <c r="B306" s="68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72"/>
      <c r="X306" s="40"/>
    </row>
    <row r="307">
      <c r="A307" s="68"/>
      <c r="B307" s="68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72"/>
      <c r="X307" s="40"/>
    </row>
    <row r="308">
      <c r="A308" s="68"/>
      <c r="B308" s="68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72"/>
      <c r="X308" s="40"/>
    </row>
    <row r="309">
      <c r="A309" s="68"/>
      <c r="B309" s="68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72"/>
      <c r="X309" s="40"/>
    </row>
    <row r="310">
      <c r="A310" s="68"/>
      <c r="B310" s="68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72"/>
      <c r="X310" s="40"/>
    </row>
    <row r="311">
      <c r="A311" s="68"/>
      <c r="B311" s="68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72"/>
      <c r="X311" s="40"/>
    </row>
    <row r="312">
      <c r="A312" s="68"/>
      <c r="B312" s="68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72"/>
      <c r="X312" s="40"/>
    </row>
    <row r="313">
      <c r="A313" s="68"/>
      <c r="B313" s="68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72"/>
      <c r="X313" s="40"/>
    </row>
    <row r="314">
      <c r="A314" s="68"/>
      <c r="B314" s="68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72"/>
      <c r="X314" s="40"/>
    </row>
    <row r="315">
      <c r="A315" s="68"/>
      <c r="B315" s="68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72"/>
      <c r="X315" s="40"/>
    </row>
    <row r="316">
      <c r="A316" s="68"/>
      <c r="B316" s="68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72"/>
      <c r="X316" s="40"/>
    </row>
    <row r="317">
      <c r="A317" s="68"/>
      <c r="B317" s="68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72"/>
      <c r="X317" s="40"/>
    </row>
    <row r="318">
      <c r="A318" s="68"/>
      <c r="B318" s="68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72"/>
      <c r="X318" s="40"/>
    </row>
    <row r="319">
      <c r="A319" s="68"/>
      <c r="B319" s="68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72"/>
      <c r="X319" s="40"/>
    </row>
    <row r="320">
      <c r="A320" s="68"/>
      <c r="B320" s="68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72"/>
      <c r="X320" s="40"/>
    </row>
    <row r="321">
      <c r="A321" s="68"/>
      <c r="B321" s="68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72"/>
      <c r="X321" s="40"/>
    </row>
    <row r="322">
      <c r="A322" s="68"/>
      <c r="B322" s="68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72"/>
      <c r="X322" s="40"/>
    </row>
    <row r="323">
      <c r="A323" s="68"/>
      <c r="B323" s="68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72"/>
      <c r="X323" s="40"/>
    </row>
    <row r="324">
      <c r="A324" s="68"/>
      <c r="B324" s="68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72"/>
      <c r="X324" s="40"/>
    </row>
    <row r="325">
      <c r="A325" s="68"/>
      <c r="B325" s="68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72"/>
      <c r="X325" s="40"/>
    </row>
    <row r="326">
      <c r="A326" s="68"/>
      <c r="B326" s="68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72"/>
      <c r="X326" s="40"/>
    </row>
    <row r="327">
      <c r="A327" s="68"/>
      <c r="B327" s="68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72"/>
      <c r="X327" s="40"/>
    </row>
    <row r="328">
      <c r="A328" s="68"/>
      <c r="B328" s="68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72"/>
      <c r="X328" s="40"/>
    </row>
    <row r="329">
      <c r="A329" s="68"/>
      <c r="B329" s="68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72"/>
      <c r="X329" s="40"/>
    </row>
    <row r="330">
      <c r="A330" s="68"/>
      <c r="B330" s="68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72"/>
      <c r="X330" s="40"/>
    </row>
    <row r="331">
      <c r="A331" s="68"/>
      <c r="B331" s="68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72"/>
      <c r="X331" s="40"/>
    </row>
    <row r="332">
      <c r="A332" s="68"/>
      <c r="B332" s="68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72"/>
      <c r="X332" s="40"/>
    </row>
    <row r="333">
      <c r="A333" s="68"/>
      <c r="B333" s="68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</row>
    <row r="334">
      <c r="A334" s="68"/>
      <c r="B334" s="68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</row>
    <row r="335">
      <c r="A335" s="68"/>
      <c r="B335" s="68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</row>
    <row r="336">
      <c r="A336" s="68"/>
      <c r="B336" s="68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</row>
    <row r="337">
      <c r="A337" s="68"/>
      <c r="B337" s="68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</row>
    <row r="338">
      <c r="A338" s="68"/>
      <c r="B338" s="68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</row>
    <row r="339">
      <c r="A339" s="68"/>
      <c r="B339" s="68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</row>
    <row r="340">
      <c r="A340" s="68"/>
      <c r="B340" s="68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</row>
    <row r="341">
      <c r="A341" s="68"/>
      <c r="B341" s="68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</row>
    <row r="342">
      <c r="A342" s="68"/>
      <c r="B342" s="68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</row>
    <row r="343">
      <c r="A343" s="68"/>
      <c r="B343" s="68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</row>
    <row r="344">
      <c r="A344" s="68"/>
      <c r="B344" s="68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</row>
    <row r="345">
      <c r="A345" s="68"/>
      <c r="B345" s="68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</row>
    <row r="346">
      <c r="A346" s="68"/>
      <c r="B346" s="68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</row>
    <row r="347">
      <c r="A347" s="68"/>
      <c r="B347" s="68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</row>
    <row r="348">
      <c r="A348" s="68"/>
      <c r="B348" s="68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</row>
    <row r="349">
      <c r="A349" s="68"/>
      <c r="B349" s="68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</row>
    <row r="350">
      <c r="A350" s="68"/>
      <c r="B350" s="68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</row>
    <row r="351">
      <c r="A351" s="68"/>
      <c r="B351" s="68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</row>
    <row r="352">
      <c r="A352" s="68"/>
      <c r="B352" s="68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</row>
    <row r="353">
      <c r="A353" s="68"/>
      <c r="B353" s="68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</row>
    <row r="354">
      <c r="A354" s="68"/>
      <c r="B354" s="68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</row>
    <row r="355">
      <c r="A355" s="68"/>
      <c r="B355" s="68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</row>
    <row r="356">
      <c r="A356" s="68"/>
      <c r="B356" s="68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</row>
    <row r="357">
      <c r="A357" s="68"/>
      <c r="B357" s="68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</row>
    <row r="358">
      <c r="A358" s="68"/>
      <c r="B358" s="68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</row>
    <row r="359">
      <c r="A359" s="68"/>
      <c r="B359" s="68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</row>
    <row r="360">
      <c r="A360" s="68"/>
      <c r="B360" s="68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</row>
    <row r="361">
      <c r="A361" s="68"/>
      <c r="B361" s="68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</row>
    <row r="362">
      <c r="A362" s="68"/>
      <c r="B362" s="68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</row>
    <row r="363">
      <c r="A363" s="68"/>
      <c r="B363" s="68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</row>
    <row r="364">
      <c r="A364" s="68"/>
      <c r="B364" s="68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</row>
    <row r="365">
      <c r="A365" s="68"/>
      <c r="B365" s="68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</row>
    <row r="366">
      <c r="A366" s="68"/>
      <c r="B366" s="68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</row>
    <row r="367">
      <c r="A367" s="68"/>
      <c r="B367" s="68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</row>
    <row r="368">
      <c r="A368" s="68"/>
      <c r="B368" s="68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</row>
    <row r="369">
      <c r="A369" s="68"/>
      <c r="B369" s="68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</row>
    <row r="370">
      <c r="A370" s="68"/>
      <c r="B370" s="68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</row>
    <row r="371">
      <c r="A371" s="68"/>
      <c r="B371" s="68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</row>
    <row r="372">
      <c r="A372" s="68"/>
      <c r="B372" s="68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</row>
    <row r="373">
      <c r="A373" s="68"/>
      <c r="B373" s="68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</row>
    <row r="374">
      <c r="A374" s="68"/>
      <c r="B374" s="68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</row>
    <row r="375">
      <c r="A375" s="68"/>
      <c r="B375" s="68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</row>
    <row r="376">
      <c r="A376" s="68"/>
      <c r="B376" s="68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</row>
    <row r="377">
      <c r="A377" s="68"/>
      <c r="B377" s="68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</row>
    <row r="378">
      <c r="A378" s="68"/>
      <c r="B378" s="68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</row>
    <row r="379">
      <c r="A379" s="68"/>
      <c r="B379" s="68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</row>
    <row r="380">
      <c r="A380" s="68"/>
      <c r="B380" s="68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</row>
    <row r="381">
      <c r="A381" s="68"/>
      <c r="B381" s="68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</row>
    <row r="382">
      <c r="A382" s="68"/>
      <c r="B382" s="68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</row>
    <row r="383">
      <c r="A383" s="68"/>
      <c r="B383" s="68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</row>
    <row r="384">
      <c r="A384" s="68"/>
      <c r="B384" s="68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</row>
    <row r="385">
      <c r="A385" s="68"/>
      <c r="B385" s="68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</row>
    <row r="386">
      <c r="A386" s="68"/>
      <c r="B386" s="68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</row>
    <row r="387">
      <c r="A387" s="68"/>
      <c r="B387" s="68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</row>
    <row r="388">
      <c r="A388" s="68"/>
      <c r="B388" s="68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</row>
    <row r="389">
      <c r="A389" s="68"/>
      <c r="B389" s="68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</row>
    <row r="390">
      <c r="A390" s="68"/>
      <c r="B390" s="68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</row>
    <row r="391">
      <c r="A391" s="68"/>
      <c r="B391" s="68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</row>
    <row r="392">
      <c r="A392" s="68"/>
      <c r="B392" s="68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</row>
    <row r="393">
      <c r="A393" s="68"/>
      <c r="B393" s="68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</row>
    <row r="394">
      <c r="A394" s="68"/>
      <c r="B394" s="68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</row>
    <row r="395">
      <c r="A395" s="68"/>
      <c r="B395" s="68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</row>
    <row r="396">
      <c r="A396" s="68"/>
      <c r="B396" s="68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</row>
    <row r="397">
      <c r="A397" s="68"/>
      <c r="B397" s="68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</row>
    <row r="398">
      <c r="A398" s="68"/>
      <c r="B398" s="68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</row>
    <row r="399">
      <c r="A399" s="68"/>
      <c r="B399" s="68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</row>
    <row r="400">
      <c r="A400" s="68"/>
      <c r="B400" s="68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</row>
    <row r="401">
      <c r="A401" s="68"/>
      <c r="B401" s="68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</row>
    <row r="402">
      <c r="A402" s="68"/>
      <c r="B402" s="68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</row>
    <row r="403">
      <c r="A403" s="68"/>
      <c r="B403" s="68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</row>
    <row r="404">
      <c r="A404" s="68"/>
      <c r="B404" s="68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</row>
    <row r="405">
      <c r="A405" s="68"/>
      <c r="B405" s="68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</row>
    <row r="406">
      <c r="A406" s="68"/>
      <c r="B406" s="68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</row>
    <row r="407">
      <c r="A407" s="68"/>
      <c r="B407" s="68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</row>
    <row r="408">
      <c r="A408" s="68"/>
      <c r="B408" s="68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</row>
    <row r="409">
      <c r="A409" s="68"/>
      <c r="B409" s="68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</row>
    <row r="410">
      <c r="A410" s="68"/>
      <c r="B410" s="68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</row>
    <row r="411">
      <c r="A411" s="68"/>
      <c r="B411" s="68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</row>
    <row r="412">
      <c r="A412" s="68"/>
      <c r="B412" s="68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</row>
    <row r="413">
      <c r="A413" s="68"/>
      <c r="B413" s="68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</row>
    <row r="414">
      <c r="A414" s="68"/>
      <c r="B414" s="68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</row>
    <row r="415">
      <c r="A415" s="68"/>
      <c r="B415" s="68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</row>
    <row r="416">
      <c r="A416" s="68"/>
      <c r="B416" s="68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</row>
    <row r="417">
      <c r="A417" s="68"/>
      <c r="B417" s="68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</row>
    <row r="418">
      <c r="A418" s="68"/>
      <c r="B418" s="68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</row>
    <row r="419">
      <c r="A419" s="68"/>
      <c r="B419" s="68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</row>
    <row r="420">
      <c r="A420" s="68"/>
      <c r="B420" s="68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</row>
    <row r="421">
      <c r="A421" s="68"/>
      <c r="B421" s="68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</row>
    <row r="422">
      <c r="A422" s="68"/>
      <c r="B422" s="68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</row>
    <row r="423">
      <c r="A423" s="68"/>
      <c r="B423" s="68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</row>
    <row r="424">
      <c r="A424" s="68"/>
      <c r="B424" s="68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</row>
    <row r="425">
      <c r="A425" s="68"/>
      <c r="B425" s="68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</row>
    <row r="426">
      <c r="A426" s="68"/>
      <c r="B426" s="68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</row>
    <row r="427">
      <c r="A427" s="68"/>
      <c r="B427" s="68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</row>
    <row r="428">
      <c r="A428" s="68"/>
      <c r="B428" s="68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</row>
    <row r="429">
      <c r="A429" s="68"/>
      <c r="B429" s="68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</row>
    <row r="430">
      <c r="A430" s="68"/>
      <c r="B430" s="68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</row>
    <row r="431">
      <c r="A431" s="68"/>
      <c r="B431" s="68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</row>
    <row r="432">
      <c r="A432" s="68"/>
      <c r="B432" s="68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</row>
    <row r="433">
      <c r="A433" s="68"/>
      <c r="B433" s="68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</row>
    <row r="434">
      <c r="A434" s="68"/>
      <c r="B434" s="68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</row>
    <row r="435">
      <c r="A435" s="68"/>
      <c r="B435" s="68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</row>
    <row r="436">
      <c r="A436" s="68"/>
      <c r="B436" s="68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</row>
    <row r="437">
      <c r="A437" s="68"/>
      <c r="B437" s="68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</row>
    <row r="438">
      <c r="A438" s="68"/>
      <c r="B438" s="68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</row>
    <row r="439">
      <c r="A439" s="68"/>
      <c r="B439" s="68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</row>
    <row r="440">
      <c r="A440" s="68"/>
      <c r="B440" s="68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</row>
    <row r="441">
      <c r="A441" s="68"/>
      <c r="B441" s="68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</row>
    <row r="442">
      <c r="A442" s="68"/>
      <c r="B442" s="68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</row>
    <row r="443">
      <c r="A443" s="68"/>
      <c r="B443" s="68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</row>
    <row r="444">
      <c r="A444" s="68"/>
      <c r="B444" s="68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</row>
    <row r="445">
      <c r="A445" s="68"/>
      <c r="B445" s="68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</row>
    <row r="446">
      <c r="A446" s="68"/>
      <c r="B446" s="68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</row>
    <row r="447">
      <c r="A447" s="68"/>
      <c r="B447" s="68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</row>
    <row r="448">
      <c r="A448" s="68"/>
      <c r="B448" s="68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</row>
    <row r="449">
      <c r="A449" s="68"/>
      <c r="B449" s="68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</row>
    <row r="450">
      <c r="A450" s="68"/>
      <c r="B450" s="68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</row>
    <row r="451">
      <c r="A451" s="68"/>
      <c r="B451" s="68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</row>
    <row r="452">
      <c r="A452" s="68"/>
      <c r="B452" s="68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</row>
    <row r="453">
      <c r="A453" s="68"/>
      <c r="B453" s="68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</row>
    <row r="454">
      <c r="A454" s="68"/>
      <c r="B454" s="68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</row>
    <row r="455">
      <c r="A455" s="68"/>
      <c r="B455" s="68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</row>
    <row r="456">
      <c r="A456" s="68"/>
      <c r="B456" s="68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</row>
    <row r="457">
      <c r="A457" s="68"/>
      <c r="B457" s="68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</row>
    <row r="458">
      <c r="A458" s="68"/>
      <c r="B458" s="68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</row>
    <row r="459">
      <c r="A459" s="68"/>
      <c r="B459" s="68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</row>
    <row r="460">
      <c r="A460" s="68"/>
      <c r="B460" s="68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</row>
    <row r="461">
      <c r="A461" s="68"/>
      <c r="B461" s="68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</row>
    <row r="462">
      <c r="A462" s="68"/>
      <c r="B462" s="68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</row>
    <row r="463">
      <c r="A463" s="68"/>
      <c r="B463" s="68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</row>
    <row r="464">
      <c r="A464" s="68"/>
      <c r="B464" s="68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</row>
    <row r="465">
      <c r="A465" s="68"/>
      <c r="B465" s="68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</row>
    <row r="466">
      <c r="A466" s="68"/>
      <c r="B466" s="68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</row>
    <row r="467">
      <c r="A467" s="68"/>
      <c r="B467" s="68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</row>
    <row r="468">
      <c r="A468" s="68"/>
      <c r="B468" s="68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</row>
    <row r="469">
      <c r="A469" s="68"/>
      <c r="B469" s="68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</row>
    <row r="470">
      <c r="A470" s="68"/>
      <c r="B470" s="68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</row>
    <row r="471">
      <c r="A471" s="68"/>
      <c r="B471" s="68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</row>
    <row r="472">
      <c r="A472" s="68"/>
      <c r="B472" s="68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</row>
    <row r="473">
      <c r="A473" s="68"/>
      <c r="B473" s="68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</row>
    <row r="474">
      <c r="A474" s="68"/>
      <c r="B474" s="68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</row>
    <row r="475">
      <c r="A475" s="68"/>
      <c r="B475" s="68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</row>
    <row r="476">
      <c r="A476" s="68"/>
      <c r="B476" s="68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</row>
    <row r="477">
      <c r="A477" s="68"/>
      <c r="B477" s="68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</row>
    <row r="478">
      <c r="A478" s="68"/>
      <c r="B478" s="68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</row>
    <row r="479">
      <c r="A479" s="68"/>
      <c r="B479" s="68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</row>
    <row r="480">
      <c r="A480" s="68"/>
      <c r="B480" s="68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</row>
    <row r="481">
      <c r="A481" s="68"/>
      <c r="B481" s="68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</row>
    <row r="482">
      <c r="A482" s="68"/>
      <c r="B482" s="68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</row>
    <row r="483">
      <c r="A483" s="68"/>
      <c r="B483" s="68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</row>
    <row r="484">
      <c r="A484" s="68"/>
      <c r="B484" s="68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</row>
    <row r="485">
      <c r="A485" s="68"/>
      <c r="B485" s="68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</row>
    <row r="486">
      <c r="A486" s="68"/>
      <c r="B486" s="68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</row>
    <row r="487">
      <c r="A487" s="68"/>
      <c r="B487" s="68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</row>
    <row r="488">
      <c r="A488" s="68"/>
      <c r="B488" s="68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</row>
    <row r="489">
      <c r="A489" s="68"/>
      <c r="B489" s="68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</row>
    <row r="490">
      <c r="A490" s="68"/>
      <c r="B490" s="68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</row>
    <row r="491">
      <c r="A491" s="68"/>
      <c r="B491" s="68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</row>
    <row r="492">
      <c r="A492" s="68"/>
      <c r="B492" s="68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</row>
    <row r="493">
      <c r="A493" s="68"/>
      <c r="B493" s="68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</row>
    <row r="494">
      <c r="A494" s="68"/>
      <c r="B494" s="68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</row>
    <row r="495">
      <c r="A495" s="68"/>
      <c r="B495" s="68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</row>
    <row r="496">
      <c r="A496" s="68"/>
      <c r="B496" s="68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</row>
    <row r="497">
      <c r="A497" s="68"/>
      <c r="B497" s="68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</row>
    <row r="498">
      <c r="A498" s="68"/>
      <c r="B498" s="68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</row>
    <row r="499">
      <c r="A499" s="68"/>
      <c r="B499" s="68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</row>
    <row r="500">
      <c r="A500" s="68"/>
      <c r="B500" s="68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</row>
    <row r="501">
      <c r="A501" s="68"/>
      <c r="B501" s="68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</row>
    <row r="502">
      <c r="A502" s="68"/>
      <c r="B502" s="68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</row>
    <row r="503">
      <c r="A503" s="68"/>
      <c r="B503" s="68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</row>
    <row r="504">
      <c r="A504" s="68"/>
      <c r="B504" s="68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</row>
    <row r="505">
      <c r="A505" s="68"/>
      <c r="B505" s="68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</row>
    <row r="506">
      <c r="A506" s="68"/>
      <c r="B506" s="68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</row>
    <row r="507">
      <c r="A507" s="68"/>
      <c r="B507" s="68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</row>
    <row r="508">
      <c r="A508" s="68"/>
      <c r="B508" s="68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</row>
    <row r="509">
      <c r="A509" s="68"/>
      <c r="B509" s="68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</row>
    <row r="510">
      <c r="A510" s="68"/>
      <c r="B510" s="68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</row>
    <row r="511">
      <c r="A511" s="68"/>
      <c r="B511" s="68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</row>
    <row r="512">
      <c r="A512" s="68"/>
      <c r="B512" s="68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</row>
    <row r="513">
      <c r="A513" s="68"/>
      <c r="B513" s="68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</row>
    <row r="514">
      <c r="A514" s="68"/>
      <c r="B514" s="68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</row>
    <row r="515">
      <c r="A515" s="68"/>
      <c r="B515" s="68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</row>
    <row r="516">
      <c r="A516" s="68"/>
      <c r="B516" s="68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</row>
    <row r="517">
      <c r="A517" s="68"/>
      <c r="B517" s="68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</row>
    <row r="518">
      <c r="A518" s="68"/>
      <c r="B518" s="68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</row>
    <row r="519">
      <c r="A519" s="68"/>
      <c r="B519" s="68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</row>
    <row r="520">
      <c r="A520" s="68"/>
      <c r="B520" s="68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</row>
    <row r="521">
      <c r="A521" s="68"/>
      <c r="B521" s="68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</row>
    <row r="522">
      <c r="A522" s="68"/>
      <c r="B522" s="68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</row>
    <row r="523">
      <c r="A523" s="68"/>
      <c r="B523" s="68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</row>
    <row r="524">
      <c r="A524" s="68"/>
      <c r="B524" s="68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</row>
    <row r="525">
      <c r="A525" s="68"/>
      <c r="B525" s="68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</row>
    <row r="526">
      <c r="A526" s="68"/>
      <c r="B526" s="68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</row>
    <row r="527">
      <c r="A527" s="68"/>
      <c r="B527" s="68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</row>
    <row r="528">
      <c r="A528" s="68"/>
      <c r="B528" s="68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</row>
    <row r="529">
      <c r="A529" s="68"/>
      <c r="B529" s="68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</row>
    <row r="530">
      <c r="A530" s="68"/>
      <c r="B530" s="68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</row>
    <row r="531">
      <c r="A531" s="68"/>
      <c r="B531" s="68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</row>
    <row r="532">
      <c r="A532" s="68"/>
      <c r="B532" s="68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</row>
    <row r="533">
      <c r="A533" s="68"/>
      <c r="B533" s="68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</row>
    <row r="534">
      <c r="A534" s="68"/>
      <c r="B534" s="68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</row>
    <row r="535">
      <c r="A535" s="68"/>
      <c r="B535" s="68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</row>
    <row r="536">
      <c r="A536" s="68"/>
      <c r="B536" s="68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</row>
    <row r="537">
      <c r="A537" s="68"/>
      <c r="B537" s="68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</row>
    <row r="538">
      <c r="A538" s="68"/>
      <c r="B538" s="68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</row>
    <row r="539">
      <c r="A539" s="68"/>
      <c r="B539" s="68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</row>
    <row r="540">
      <c r="A540" s="68"/>
      <c r="B540" s="68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</row>
    <row r="541">
      <c r="A541" s="68"/>
      <c r="B541" s="68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</row>
    <row r="542">
      <c r="A542" s="68"/>
      <c r="B542" s="68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</row>
    <row r="543">
      <c r="A543" s="68"/>
      <c r="B543" s="68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</row>
    <row r="544">
      <c r="A544" s="68"/>
      <c r="B544" s="68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</row>
    <row r="545">
      <c r="A545" s="68"/>
      <c r="B545" s="68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</row>
    <row r="546">
      <c r="A546" s="68"/>
      <c r="B546" s="68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</row>
    <row r="547">
      <c r="A547" s="68"/>
      <c r="B547" s="68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</row>
    <row r="548">
      <c r="A548" s="68"/>
      <c r="B548" s="68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</row>
    <row r="549">
      <c r="A549" s="68"/>
      <c r="B549" s="68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</row>
    <row r="550">
      <c r="A550" s="68"/>
      <c r="B550" s="68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</row>
    <row r="551">
      <c r="A551" s="68"/>
      <c r="B551" s="68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</row>
    <row r="552">
      <c r="A552" s="68"/>
      <c r="B552" s="68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</row>
    <row r="553">
      <c r="A553" s="68"/>
      <c r="B553" s="68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</row>
    <row r="554">
      <c r="A554" s="68"/>
      <c r="B554" s="68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</row>
    <row r="555">
      <c r="A555" s="68"/>
      <c r="B555" s="68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</row>
    <row r="556">
      <c r="A556" s="68"/>
      <c r="B556" s="68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</row>
    <row r="557">
      <c r="A557" s="68"/>
      <c r="B557" s="68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</row>
    <row r="558">
      <c r="A558" s="68"/>
      <c r="B558" s="68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</row>
    <row r="559">
      <c r="A559" s="68"/>
      <c r="B559" s="68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</row>
    <row r="560">
      <c r="A560" s="68"/>
      <c r="B560" s="68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</row>
    <row r="561">
      <c r="A561" s="68"/>
      <c r="B561" s="68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</row>
    <row r="562">
      <c r="A562" s="68"/>
      <c r="B562" s="68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</row>
    <row r="563">
      <c r="A563" s="68"/>
      <c r="B563" s="68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</row>
    <row r="564">
      <c r="A564" s="68"/>
      <c r="B564" s="68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</row>
    <row r="565">
      <c r="A565" s="68"/>
      <c r="B565" s="68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</row>
    <row r="566">
      <c r="A566" s="68"/>
      <c r="B566" s="68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</row>
    <row r="567">
      <c r="A567" s="68"/>
      <c r="B567" s="68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</row>
    <row r="568">
      <c r="A568" s="68"/>
      <c r="B568" s="68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</row>
    <row r="569">
      <c r="A569" s="68"/>
      <c r="B569" s="68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</row>
    <row r="570">
      <c r="A570" s="68"/>
      <c r="B570" s="68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</row>
    <row r="571">
      <c r="A571" s="68"/>
      <c r="B571" s="68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</row>
    <row r="572">
      <c r="A572" s="68"/>
      <c r="B572" s="68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</row>
    <row r="573">
      <c r="A573" s="68"/>
      <c r="B573" s="68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</row>
    <row r="574">
      <c r="A574" s="68"/>
      <c r="B574" s="68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</row>
    <row r="575">
      <c r="A575" s="68"/>
      <c r="B575" s="68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</row>
    <row r="576">
      <c r="A576" s="68"/>
      <c r="B576" s="68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</row>
    <row r="577">
      <c r="A577" s="68"/>
      <c r="B577" s="68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</row>
    <row r="578">
      <c r="A578" s="68"/>
      <c r="B578" s="68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</row>
    <row r="579">
      <c r="A579" s="68"/>
      <c r="B579" s="68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</row>
    <row r="580">
      <c r="A580" s="68"/>
      <c r="B580" s="68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</row>
    <row r="581">
      <c r="A581" s="68"/>
      <c r="B581" s="68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</row>
    <row r="582">
      <c r="A582" s="68"/>
      <c r="B582" s="68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</row>
    <row r="583">
      <c r="A583" s="68"/>
      <c r="B583" s="68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</row>
    <row r="584">
      <c r="A584" s="68"/>
      <c r="B584" s="68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</row>
    <row r="585">
      <c r="A585" s="68"/>
      <c r="B585" s="68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</row>
    <row r="586">
      <c r="A586" s="68"/>
      <c r="B586" s="68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</row>
    <row r="587">
      <c r="A587" s="68"/>
      <c r="B587" s="68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</row>
    <row r="588">
      <c r="A588" s="68"/>
      <c r="B588" s="68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</row>
    <row r="589">
      <c r="A589" s="68"/>
      <c r="B589" s="68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</row>
    <row r="590">
      <c r="A590" s="68"/>
      <c r="B590" s="68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</row>
    <row r="591">
      <c r="A591" s="68"/>
      <c r="B591" s="68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</row>
    <row r="592">
      <c r="A592" s="68"/>
      <c r="B592" s="68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</row>
    <row r="593">
      <c r="A593" s="68"/>
      <c r="B593" s="68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</row>
    <row r="594">
      <c r="A594" s="68"/>
      <c r="B594" s="68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</row>
    <row r="595">
      <c r="A595" s="68"/>
      <c r="B595" s="68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</row>
    <row r="596">
      <c r="A596" s="68"/>
      <c r="B596" s="68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</row>
    <row r="597">
      <c r="A597" s="68"/>
      <c r="B597" s="68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</row>
    <row r="598">
      <c r="A598" s="68"/>
      <c r="B598" s="68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</row>
    <row r="599">
      <c r="A599" s="68"/>
      <c r="B599" s="68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</row>
    <row r="600">
      <c r="A600" s="68"/>
      <c r="B600" s="68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</row>
    <row r="601">
      <c r="A601" s="68"/>
      <c r="B601" s="68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</row>
    <row r="602">
      <c r="A602" s="68"/>
      <c r="B602" s="68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</row>
    <row r="603">
      <c r="A603" s="68"/>
      <c r="B603" s="68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</row>
    <row r="604">
      <c r="A604" s="68"/>
      <c r="B604" s="68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</row>
    <row r="605">
      <c r="A605" s="68"/>
      <c r="B605" s="68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</row>
    <row r="606">
      <c r="A606" s="68"/>
      <c r="B606" s="68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</row>
    <row r="607">
      <c r="A607" s="68"/>
      <c r="B607" s="68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</row>
    <row r="608">
      <c r="A608" s="68"/>
      <c r="B608" s="68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</row>
    <row r="609">
      <c r="A609" s="68"/>
      <c r="B609" s="68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</row>
    <row r="610">
      <c r="A610" s="68"/>
      <c r="B610" s="68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</row>
    <row r="611">
      <c r="A611" s="68"/>
      <c r="B611" s="68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</row>
    <row r="612">
      <c r="A612" s="68"/>
      <c r="B612" s="68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</row>
    <row r="613">
      <c r="A613" s="68"/>
      <c r="B613" s="68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</row>
    <row r="614">
      <c r="A614" s="68"/>
      <c r="B614" s="68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</row>
    <row r="615">
      <c r="A615" s="68"/>
      <c r="B615" s="68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</row>
    <row r="616">
      <c r="A616" s="68"/>
      <c r="B616" s="68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</row>
    <row r="617">
      <c r="A617" s="68"/>
      <c r="B617" s="68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</row>
    <row r="618">
      <c r="A618" s="68"/>
      <c r="B618" s="68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</row>
    <row r="619">
      <c r="A619" s="68"/>
      <c r="B619" s="68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</row>
    <row r="620">
      <c r="A620" s="68"/>
      <c r="B620" s="68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</row>
    <row r="621">
      <c r="A621" s="68"/>
      <c r="B621" s="68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</row>
    <row r="622">
      <c r="A622" s="68"/>
      <c r="B622" s="68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</row>
    <row r="623">
      <c r="A623" s="68"/>
      <c r="B623" s="68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</row>
    <row r="624">
      <c r="A624" s="68"/>
      <c r="B624" s="68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</row>
    <row r="625">
      <c r="A625" s="68"/>
      <c r="B625" s="68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</row>
    <row r="626">
      <c r="A626" s="68"/>
      <c r="B626" s="68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</row>
    <row r="627">
      <c r="A627" s="68"/>
      <c r="B627" s="68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</row>
    <row r="628">
      <c r="A628" s="68"/>
      <c r="B628" s="68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</row>
    <row r="629">
      <c r="A629" s="68"/>
      <c r="B629" s="68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</row>
    <row r="630">
      <c r="A630" s="68"/>
      <c r="B630" s="68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</row>
    <row r="631">
      <c r="A631" s="68"/>
      <c r="B631" s="68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</row>
    <row r="632">
      <c r="A632" s="68"/>
      <c r="B632" s="68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</row>
    <row r="633">
      <c r="A633" s="68"/>
      <c r="B633" s="68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</row>
    <row r="634">
      <c r="A634" s="68"/>
      <c r="B634" s="68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</row>
    <row r="635">
      <c r="A635" s="68"/>
      <c r="B635" s="68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</row>
    <row r="636">
      <c r="A636" s="68"/>
      <c r="B636" s="68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</row>
    <row r="637">
      <c r="A637" s="68"/>
      <c r="B637" s="68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</row>
    <row r="638">
      <c r="A638" s="68"/>
      <c r="B638" s="68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</row>
    <row r="639">
      <c r="A639" s="68"/>
      <c r="B639" s="68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</row>
    <row r="640">
      <c r="A640" s="68"/>
      <c r="B640" s="68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</row>
    <row r="641">
      <c r="A641" s="68"/>
      <c r="B641" s="68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</row>
    <row r="642">
      <c r="A642" s="68"/>
      <c r="B642" s="68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</row>
    <row r="643">
      <c r="A643" s="68"/>
      <c r="B643" s="68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</row>
    <row r="644">
      <c r="A644" s="68"/>
      <c r="B644" s="68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</row>
    <row r="645">
      <c r="A645" s="68"/>
      <c r="B645" s="68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</row>
    <row r="646">
      <c r="A646" s="68"/>
      <c r="B646" s="68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</row>
    <row r="647">
      <c r="A647" s="68"/>
      <c r="B647" s="68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</row>
    <row r="648">
      <c r="A648" s="68"/>
      <c r="B648" s="68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</row>
    <row r="649">
      <c r="A649" s="68"/>
      <c r="B649" s="68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</row>
    <row r="650">
      <c r="A650" s="68"/>
      <c r="B650" s="68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</row>
    <row r="651">
      <c r="A651" s="68"/>
      <c r="B651" s="68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</row>
    <row r="652">
      <c r="A652" s="68"/>
      <c r="B652" s="68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</row>
    <row r="653">
      <c r="A653" s="68"/>
      <c r="B653" s="68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</row>
    <row r="654">
      <c r="A654" s="68"/>
      <c r="B654" s="68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</row>
    <row r="655">
      <c r="A655" s="68"/>
      <c r="B655" s="68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</row>
    <row r="656">
      <c r="A656" s="68"/>
      <c r="B656" s="68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</row>
    <row r="657">
      <c r="A657" s="68"/>
      <c r="B657" s="68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</row>
    <row r="658">
      <c r="A658" s="68"/>
      <c r="B658" s="68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</row>
    <row r="659">
      <c r="A659" s="68"/>
      <c r="B659" s="68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</row>
    <row r="660">
      <c r="A660" s="68"/>
      <c r="B660" s="68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</row>
    <row r="661">
      <c r="A661" s="68"/>
      <c r="B661" s="68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</row>
    <row r="662">
      <c r="A662" s="68"/>
      <c r="B662" s="68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</row>
    <row r="663">
      <c r="A663" s="68"/>
      <c r="B663" s="68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</row>
    <row r="664">
      <c r="A664" s="68"/>
      <c r="B664" s="68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</row>
    <row r="665">
      <c r="A665" s="68"/>
      <c r="B665" s="68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</row>
    <row r="666">
      <c r="A666" s="68"/>
      <c r="B666" s="68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</row>
    <row r="667">
      <c r="A667" s="68"/>
      <c r="B667" s="68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</row>
    <row r="668">
      <c r="A668" s="68"/>
      <c r="B668" s="68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</row>
    <row r="669">
      <c r="A669" s="68"/>
      <c r="B669" s="68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</row>
    <row r="670">
      <c r="A670" s="68"/>
      <c r="B670" s="68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</row>
    <row r="671">
      <c r="A671" s="68"/>
      <c r="B671" s="68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</row>
    <row r="672">
      <c r="A672" s="68"/>
      <c r="B672" s="68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</row>
    <row r="673">
      <c r="A673" s="68"/>
      <c r="B673" s="68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</row>
    <row r="674">
      <c r="A674" s="68"/>
      <c r="B674" s="68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</row>
    <row r="675">
      <c r="A675" s="68"/>
      <c r="B675" s="68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</row>
    <row r="676">
      <c r="A676" s="68"/>
      <c r="B676" s="68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</row>
    <row r="677">
      <c r="A677" s="68"/>
      <c r="B677" s="68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</row>
    <row r="678">
      <c r="A678" s="68"/>
      <c r="B678" s="68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</row>
    <row r="679">
      <c r="A679" s="68"/>
      <c r="B679" s="68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</row>
    <row r="680">
      <c r="A680" s="68"/>
      <c r="B680" s="68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</row>
    <row r="681">
      <c r="A681" s="68"/>
      <c r="B681" s="68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</row>
    <row r="682">
      <c r="A682" s="68"/>
      <c r="B682" s="68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</row>
    <row r="683">
      <c r="A683" s="68"/>
      <c r="B683" s="68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</row>
    <row r="684">
      <c r="A684" s="68"/>
      <c r="B684" s="68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</row>
    <row r="685">
      <c r="A685" s="68"/>
      <c r="B685" s="68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</row>
    <row r="686">
      <c r="A686" s="68"/>
      <c r="B686" s="68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</row>
    <row r="687">
      <c r="A687" s="68"/>
      <c r="B687" s="68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</row>
    <row r="688">
      <c r="A688" s="68"/>
      <c r="B688" s="68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</row>
    <row r="689">
      <c r="A689" s="68"/>
      <c r="B689" s="68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</row>
    <row r="690">
      <c r="A690" s="68"/>
      <c r="B690" s="68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</row>
    <row r="691">
      <c r="A691" s="68"/>
      <c r="B691" s="68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</row>
    <row r="692">
      <c r="A692" s="68"/>
      <c r="B692" s="68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</row>
    <row r="693">
      <c r="A693" s="68"/>
      <c r="B693" s="68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</row>
    <row r="694">
      <c r="A694" s="68"/>
      <c r="B694" s="68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</row>
    <row r="695">
      <c r="A695" s="68"/>
      <c r="B695" s="68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</row>
    <row r="696">
      <c r="A696" s="68"/>
      <c r="B696" s="68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</row>
    <row r="697">
      <c r="A697" s="68"/>
      <c r="B697" s="68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</row>
    <row r="698">
      <c r="A698" s="68"/>
      <c r="B698" s="68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</row>
    <row r="699">
      <c r="A699" s="68"/>
      <c r="B699" s="68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</row>
    <row r="700">
      <c r="A700" s="68"/>
      <c r="B700" s="68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</row>
    <row r="701">
      <c r="A701" s="68"/>
      <c r="B701" s="68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</row>
    <row r="702">
      <c r="A702" s="68"/>
      <c r="B702" s="68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</row>
    <row r="703">
      <c r="A703" s="68"/>
      <c r="B703" s="68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</row>
    <row r="704">
      <c r="A704" s="68"/>
      <c r="B704" s="68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</row>
    <row r="705">
      <c r="A705" s="68"/>
      <c r="B705" s="68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</row>
    <row r="706">
      <c r="A706" s="68"/>
      <c r="B706" s="68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</row>
    <row r="707">
      <c r="A707" s="68"/>
      <c r="B707" s="68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</row>
    <row r="708">
      <c r="A708" s="68"/>
      <c r="B708" s="68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</row>
    <row r="709">
      <c r="A709" s="68"/>
      <c r="B709" s="68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</row>
    <row r="710">
      <c r="A710" s="68"/>
      <c r="B710" s="68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</row>
    <row r="711">
      <c r="A711" s="68"/>
      <c r="B711" s="68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</row>
    <row r="712">
      <c r="A712" s="68"/>
      <c r="B712" s="68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</row>
    <row r="713">
      <c r="A713" s="68"/>
      <c r="B713" s="68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</row>
    <row r="714">
      <c r="A714" s="68"/>
      <c r="B714" s="68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</row>
    <row r="715">
      <c r="A715" s="68"/>
      <c r="B715" s="68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</row>
    <row r="716">
      <c r="A716" s="68"/>
      <c r="B716" s="68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</row>
    <row r="717">
      <c r="A717" s="68"/>
      <c r="B717" s="68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</row>
    <row r="718">
      <c r="A718" s="68"/>
      <c r="B718" s="68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</row>
    <row r="719">
      <c r="A719" s="68"/>
      <c r="B719" s="68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</row>
    <row r="720">
      <c r="A720" s="68"/>
      <c r="B720" s="68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</row>
    <row r="721">
      <c r="A721" s="68"/>
      <c r="B721" s="68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</row>
    <row r="722">
      <c r="A722" s="68"/>
      <c r="B722" s="68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</row>
    <row r="723">
      <c r="A723" s="68"/>
      <c r="B723" s="68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</row>
    <row r="724">
      <c r="A724" s="68"/>
      <c r="B724" s="68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</row>
    <row r="725">
      <c r="A725" s="68"/>
      <c r="B725" s="68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</row>
    <row r="726">
      <c r="A726" s="68"/>
      <c r="B726" s="68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</row>
    <row r="727">
      <c r="A727" s="68"/>
      <c r="B727" s="68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</row>
    <row r="728">
      <c r="A728" s="68"/>
      <c r="B728" s="68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</row>
    <row r="729">
      <c r="A729" s="68"/>
      <c r="B729" s="68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</row>
    <row r="730">
      <c r="A730" s="68"/>
      <c r="B730" s="68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</row>
    <row r="731">
      <c r="A731" s="68"/>
      <c r="B731" s="68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</row>
    <row r="732">
      <c r="A732" s="68"/>
      <c r="B732" s="68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</row>
    <row r="733">
      <c r="A733" s="68"/>
      <c r="B733" s="68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</row>
    <row r="734">
      <c r="A734" s="68"/>
      <c r="B734" s="68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</row>
    <row r="735">
      <c r="A735" s="68"/>
      <c r="B735" s="68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</row>
    <row r="736">
      <c r="A736" s="68"/>
      <c r="B736" s="68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</row>
    <row r="737">
      <c r="A737" s="68"/>
      <c r="B737" s="68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</row>
    <row r="738">
      <c r="A738" s="68"/>
      <c r="B738" s="68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</row>
    <row r="739">
      <c r="A739" s="68"/>
      <c r="B739" s="68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</row>
    <row r="740">
      <c r="A740" s="68"/>
      <c r="B740" s="68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</row>
    <row r="741">
      <c r="A741" s="68"/>
      <c r="B741" s="68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</row>
    <row r="742">
      <c r="A742" s="68"/>
      <c r="B742" s="68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</row>
    <row r="743">
      <c r="A743" s="68"/>
      <c r="B743" s="68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</row>
    <row r="744">
      <c r="A744" s="68"/>
      <c r="B744" s="68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</row>
    <row r="745">
      <c r="A745" s="68"/>
      <c r="B745" s="68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</row>
    <row r="746">
      <c r="A746" s="68"/>
      <c r="B746" s="68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</row>
    <row r="747">
      <c r="A747" s="68"/>
      <c r="B747" s="68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</row>
    <row r="748">
      <c r="A748" s="68"/>
      <c r="B748" s="68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</row>
    <row r="749">
      <c r="A749" s="68"/>
      <c r="B749" s="68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</row>
    <row r="750">
      <c r="A750" s="68"/>
      <c r="B750" s="68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</row>
    <row r="751">
      <c r="A751" s="68"/>
      <c r="B751" s="68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</row>
    <row r="752">
      <c r="A752" s="68"/>
      <c r="B752" s="68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</row>
    <row r="753">
      <c r="A753" s="68"/>
      <c r="B753" s="68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</row>
    <row r="754">
      <c r="A754" s="68"/>
      <c r="B754" s="68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</row>
    <row r="755">
      <c r="A755" s="68"/>
      <c r="B755" s="68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</row>
    <row r="756">
      <c r="A756" s="68"/>
      <c r="B756" s="68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</row>
    <row r="757">
      <c r="A757" s="68"/>
      <c r="B757" s="68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</row>
    <row r="758">
      <c r="A758" s="68"/>
      <c r="B758" s="68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</row>
    <row r="759">
      <c r="A759" s="68"/>
      <c r="B759" s="68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</row>
    <row r="760">
      <c r="A760" s="68"/>
      <c r="B760" s="68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</row>
    <row r="761">
      <c r="A761" s="68"/>
      <c r="B761" s="68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</row>
    <row r="762">
      <c r="A762" s="68"/>
      <c r="B762" s="68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</row>
    <row r="763">
      <c r="A763" s="68"/>
      <c r="B763" s="68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</row>
    <row r="764">
      <c r="A764" s="68"/>
      <c r="B764" s="68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</row>
    <row r="765">
      <c r="A765" s="68"/>
      <c r="B765" s="68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</row>
    <row r="766">
      <c r="A766" s="68"/>
      <c r="B766" s="68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</row>
    <row r="767">
      <c r="A767" s="68"/>
      <c r="B767" s="68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</row>
    <row r="768">
      <c r="A768" s="68"/>
      <c r="B768" s="68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</row>
    <row r="769">
      <c r="A769" s="68"/>
      <c r="B769" s="68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</row>
    <row r="770">
      <c r="A770" s="68"/>
      <c r="B770" s="68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</row>
    <row r="771">
      <c r="A771" s="68"/>
      <c r="B771" s="68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</row>
    <row r="772">
      <c r="A772" s="68"/>
      <c r="B772" s="68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</row>
    <row r="773">
      <c r="A773" s="68"/>
      <c r="B773" s="68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</row>
    <row r="774">
      <c r="A774" s="68"/>
      <c r="B774" s="68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</row>
    <row r="775">
      <c r="A775" s="68"/>
      <c r="B775" s="68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</row>
    <row r="776">
      <c r="A776" s="68"/>
      <c r="B776" s="68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</row>
    <row r="777">
      <c r="A777" s="68"/>
      <c r="B777" s="68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</row>
    <row r="778">
      <c r="A778" s="68"/>
      <c r="B778" s="68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</row>
    <row r="779">
      <c r="A779" s="68"/>
      <c r="B779" s="68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</row>
    <row r="780">
      <c r="A780" s="68"/>
      <c r="B780" s="68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</row>
    <row r="781">
      <c r="A781" s="68"/>
      <c r="B781" s="68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</row>
    <row r="782">
      <c r="A782" s="68"/>
      <c r="B782" s="68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</row>
    <row r="783">
      <c r="A783" s="68"/>
      <c r="B783" s="68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</row>
    <row r="784">
      <c r="A784" s="68"/>
      <c r="B784" s="68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</row>
    <row r="785">
      <c r="A785" s="68"/>
      <c r="B785" s="68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</row>
    <row r="786">
      <c r="A786" s="68"/>
      <c r="B786" s="68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</row>
    <row r="787">
      <c r="A787" s="68"/>
      <c r="B787" s="68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</row>
    <row r="788">
      <c r="A788" s="68"/>
      <c r="B788" s="68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</row>
    <row r="789">
      <c r="A789" s="68"/>
      <c r="B789" s="68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</row>
    <row r="790">
      <c r="A790" s="68"/>
      <c r="B790" s="68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</row>
    <row r="791">
      <c r="A791" s="68"/>
      <c r="B791" s="68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</row>
    <row r="792">
      <c r="A792" s="68"/>
      <c r="B792" s="68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</row>
    <row r="793">
      <c r="A793" s="68"/>
      <c r="B793" s="68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</row>
    <row r="794">
      <c r="A794" s="68"/>
      <c r="B794" s="68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</row>
    <row r="795">
      <c r="A795" s="68"/>
      <c r="B795" s="68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</row>
    <row r="796">
      <c r="A796" s="68"/>
      <c r="B796" s="68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</row>
    <row r="797">
      <c r="A797" s="68"/>
      <c r="B797" s="68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</row>
    <row r="798">
      <c r="A798" s="68"/>
      <c r="B798" s="68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</row>
    <row r="799">
      <c r="A799" s="68"/>
      <c r="B799" s="68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</row>
    <row r="800">
      <c r="A800" s="68"/>
      <c r="B800" s="68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</row>
    <row r="801">
      <c r="A801" s="68"/>
      <c r="B801" s="68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</row>
    <row r="802">
      <c r="A802" s="68"/>
      <c r="B802" s="68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</row>
    <row r="803">
      <c r="A803" s="68"/>
      <c r="B803" s="68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</row>
    <row r="804">
      <c r="A804" s="68"/>
      <c r="B804" s="68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</row>
    <row r="805">
      <c r="A805" s="68"/>
      <c r="B805" s="68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</row>
    <row r="806">
      <c r="A806" s="68"/>
      <c r="B806" s="68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</row>
    <row r="807">
      <c r="A807" s="68"/>
      <c r="B807" s="68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</row>
    <row r="808">
      <c r="A808" s="68"/>
      <c r="B808" s="68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</row>
    <row r="809">
      <c r="A809" s="68"/>
      <c r="B809" s="68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</row>
    <row r="810">
      <c r="A810" s="68"/>
      <c r="B810" s="68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</row>
    <row r="811">
      <c r="A811" s="68"/>
      <c r="B811" s="68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</row>
    <row r="812">
      <c r="A812" s="68"/>
      <c r="B812" s="68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</row>
    <row r="813">
      <c r="A813" s="68"/>
      <c r="B813" s="68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</row>
    <row r="814">
      <c r="A814" s="68"/>
      <c r="B814" s="68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</row>
    <row r="815">
      <c r="A815" s="68"/>
      <c r="B815" s="68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</row>
    <row r="816">
      <c r="A816" s="68"/>
      <c r="B816" s="68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</row>
    <row r="817">
      <c r="A817" s="68"/>
      <c r="B817" s="68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</row>
    <row r="818">
      <c r="A818" s="68"/>
      <c r="B818" s="68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</row>
    <row r="819">
      <c r="A819" s="68"/>
      <c r="B819" s="68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</row>
    <row r="820">
      <c r="A820" s="68"/>
      <c r="B820" s="68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</row>
    <row r="821">
      <c r="A821" s="68"/>
      <c r="B821" s="68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</row>
    <row r="822">
      <c r="A822" s="68"/>
      <c r="B822" s="68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</row>
    <row r="823">
      <c r="A823" s="68"/>
      <c r="B823" s="68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</row>
    <row r="824">
      <c r="A824" s="68"/>
      <c r="B824" s="68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</row>
    <row r="825">
      <c r="A825" s="68"/>
      <c r="B825" s="68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</row>
    <row r="826">
      <c r="A826" s="68"/>
      <c r="B826" s="68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</row>
    <row r="827">
      <c r="A827" s="68"/>
      <c r="B827" s="68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</row>
    <row r="828">
      <c r="A828" s="68"/>
      <c r="B828" s="68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</row>
    <row r="829">
      <c r="A829" s="68"/>
      <c r="B829" s="68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</row>
    <row r="830">
      <c r="A830" s="68"/>
      <c r="B830" s="68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</row>
    <row r="831">
      <c r="A831" s="68"/>
      <c r="B831" s="68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</row>
    <row r="832">
      <c r="A832" s="68"/>
      <c r="B832" s="68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</row>
    <row r="833">
      <c r="A833" s="68"/>
      <c r="B833" s="68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</row>
    <row r="834">
      <c r="A834" s="68"/>
      <c r="B834" s="68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</row>
    <row r="835">
      <c r="A835" s="68"/>
      <c r="B835" s="68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</row>
    <row r="836">
      <c r="A836" s="68"/>
      <c r="B836" s="68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</row>
    <row r="837">
      <c r="A837" s="68"/>
      <c r="B837" s="68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</row>
    <row r="838">
      <c r="A838" s="68"/>
      <c r="B838" s="68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</row>
    <row r="839">
      <c r="A839" s="68"/>
      <c r="B839" s="68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</row>
    <row r="840">
      <c r="A840" s="68"/>
      <c r="B840" s="68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</row>
    <row r="841">
      <c r="A841" s="68"/>
      <c r="B841" s="68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</row>
    <row r="842">
      <c r="A842" s="68"/>
      <c r="B842" s="68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</row>
    <row r="843">
      <c r="A843" s="68"/>
      <c r="B843" s="68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</row>
    <row r="844">
      <c r="A844" s="68"/>
      <c r="B844" s="68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</row>
    <row r="845">
      <c r="A845" s="68"/>
      <c r="B845" s="68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</row>
    <row r="846">
      <c r="A846" s="68"/>
      <c r="B846" s="68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</row>
    <row r="847">
      <c r="A847" s="68"/>
      <c r="B847" s="68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</row>
    <row r="848">
      <c r="A848" s="68"/>
      <c r="B848" s="68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</row>
    <row r="849">
      <c r="A849" s="68"/>
      <c r="B849" s="68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</row>
    <row r="850">
      <c r="A850" s="68"/>
      <c r="B850" s="68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</row>
    <row r="851">
      <c r="A851" s="68"/>
      <c r="B851" s="68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</row>
    <row r="852">
      <c r="A852" s="68"/>
      <c r="B852" s="68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</row>
    <row r="853">
      <c r="A853" s="68"/>
      <c r="B853" s="68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</row>
    <row r="854">
      <c r="A854" s="68"/>
      <c r="B854" s="68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</row>
    <row r="855">
      <c r="A855" s="68"/>
      <c r="B855" s="68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</row>
    <row r="856">
      <c r="A856" s="68"/>
      <c r="B856" s="68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</row>
    <row r="857">
      <c r="A857" s="68"/>
      <c r="B857" s="68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</row>
    <row r="858">
      <c r="A858" s="68"/>
      <c r="B858" s="68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</row>
    <row r="859">
      <c r="A859" s="68"/>
      <c r="B859" s="68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</row>
    <row r="860">
      <c r="A860" s="68"/>
      <c r="B860" s="68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</row>
    <row r="861">
      <c r="A861" s="68"/>
      <c r="B861" s="68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</row>
    <row r="862">
      <c r="A862" s="68"/>
      <c r="B862" s="68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</row>
    <row r="863">
      <c r="A863" s="68"/>
      <c r="B863" s="68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</row>
    <row r="864">
      <c r="A864" s="68"/>
      <c r="B864" s="68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</row>
    <row r="865">
      <c r="A865" s="68"/>
      <c r="B865" s="68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</row>
    <row r="866">
      <c r="A866" s="68"/>
      <c r="B866" s="68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</row>
    <row r="867">
      <c r="A867" s="68"/>
      <c r="B867" s="68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</row>
    <row r="868">
      <c r="A868" s="68"/>
      <c r="B868" s="68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</row>
    <row r="869">
      <c r="A869" s="68"/>
      <c r="B869" s="68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</row>
    <row r="870">
      <c r="A870" s="68"/>
      <c r="B870" s="68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</row>
    <row r="871">
      <c r="A871" s="68"/>
      <c r="B871" s="68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</row>
    <row r="872">
      <c r="A872" s="68"/>
      <c r="B872" s="68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</row>
    <row r="873">
      <c r="A873" s="68"/>
      <c r="B873" s="68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</row>
    <row r="874">
      <c r="A874" s="68"/>
      <c r="B874" s="68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</row>
    <row r="875">
      <c r="A875" s="68"/>
      <c r="B875" s="68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</row>
    <row r="876">
      <c r="A876" s="68"/>
      <c r="B876" s="68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</row>
    <row r="877">
      <c r="A877" s="68"/>
      <c r="B877" s="68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</row>
    <row r="878">
      <c r="A878" s="68"/>
      <c r="B878" s="68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</row>
    <row r="879">
      <c r="A879" s="68"/>
      <c r="B879" s="68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</row>
    <row r="880">
      <c r="A880" s="68"/>
      <c r="B880" s="68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</row>
    <row r="881">
      <c r="A881" s="68"/>
      <c r="B881" s="68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</row>
    <row r="882">
      <c r="A882" s="68"/>
      <c r="B882" s="68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</row>
    <row r="883">
      <c r="A883" s="68"/>
      <c r="B883" s="68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</row>
    <row r="884">
      <c r="A884" s="68"/>
      <c r="B884" s="68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</row>
    <row r="885">
      <c r="A885" s="68"/>
      <c r="B885" s="68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</row>
    <row r="886">
      <c r="A886" s="68"/>
      <c r="B886" s="68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</row>
    <row r="887">
      <c r="A887" s="68"/>
      <c r="B887" s="68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</row>
    <row r="888">
      <c r="A888" s="68"/>
      <c r="B888" s="68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</row>
    <row r="889">
      <c r="A889" s="68"/>
      <c r="B889" s="68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</row>
    <row r="890">
      <c r="A890" s="68"/>
      <c r="B890" s="68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</row>
    <row r="891">
      <c r="A891" s="68"/>
      <c r="B891" s="68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</row>
    <row r="892">
      <c r="A892" s="68"/>
      <c r="B892" s="68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</row>
    <row r="893">
      <c r="A893" s="68"/>
      <c r="B893" s="68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</row>
    <row r="894">
      <c r="A894" s="68"/>
      <c r="B894" s="68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</row>
    <row r="895">
      <c r="A895" s="68"/>
      <c r="B895" s="68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</row>
    <row r="896">
      <c r="A896" s="68"/>
      <c r="B896" s="68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</row>
    <row r="897">
      <c r="A897" s="68"/>
      <c r="B897" s="68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</row>
    <row r="898">
      <c r="A898" s="68"/>
      <c r="B898" s="68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</row>
    <row r="899">
      <c r="A899" s="68"/>
      <c r="B899" s="68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</row>
    <row r="900">
      <c r="A900" s="68"/>
      <c r="B900" s="68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</row>
    <row r="901">
      <c r="A901" s="68"/>
      <c r="B901" s="68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</row>
    <row r="902">
      <c r="A902" s="68"/>
      <c r="B902" s="68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</row>
    <row r="903">
      <c r="A903" s="68"/>
      <c r="B903" s="68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</row>
    <row r="904">
      <c r="A904" s="68"/>
      <c r="B904" s="68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</row>
    <row r="905">
      <c r="A905" s="68"/>
      <c r="B905" s="68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</row>
    <row r="906">
      <c r="A906" s="68"/>
      <c r="B906" s="68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</row>
    <row r="907">
      <c r="A907" s="68"/>
      <c r="B907" s="68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</row>
    <row r="908">
      <c r="A908" s="68"/>
      <c r="B908" s="68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</row>
    <row r="909">
      <c r="A909" s="68"/>
      <c r="B909" s="68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</row>
    <row r="910">
      <c r="A910" s="68"/>
      <c r="B910" s="68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</row>
    <row r="911">
      <c r="A911" s="68"/>
      <c r="B911" s="68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</row>
    <row r="912">
      <c r="A912" s="68"/>
      <c r="B912" s="68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</row>
    <row r="913">
      <c r="A913" s="68"/>
      <c r="B913" s="68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</row>
    <row r="914">
      <c r="A914" s="68"/>
      <c r="B914" s="68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</row>
    <row r="915">
      <c r="A915" s="68"/>
      <c r="B915" s="68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</row>
    <row r="916">
      <c r="A916" s="68"/>
      <c r="B916" s="68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</row>
    <row r="917">
      <c r="A917" s="68"/>
      <c r="B917" s="68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</row>
    <row r="918">
      <c r="A918" s="68"/>
      <c r="B918" s="68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</row>
    <row r="919">
      <c r="A919" s="68"/>
      <c r="B919" s="68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</row>
    <row r="920">
      <c r="A920" s="68"/>
      <c r="B920" s="68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</row>
    <row r="921">
      <c r="A921" s="68"/>
      <c r="B921" s="68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</row>
    <row r="922">
      <c r="A922" s="68"/>
      <c r="B922" s="68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</row>
    <row r="923">
      <c r="A923" s="68"/>
      <c r="B923" s="68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</row>
    <row r="924">
      <c r="A924" s="68"/>
      <c r="B924" s="68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</row>
    <row r="925">
      <c r="A925" s="68"/>
      <c r="B925" s="68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</row>
    <row r="926">
      <c r="A926" s="68"/>
      <c r="B926" s="68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</row>
    <row r="927">
      <c r="A927" s="68"/>
      <c r="B927" s="68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</row>
    <row r="928">
      <c r="A928" s="68"/>
      <c r="B928" s="68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</row>
    <row r="929">
      <c r="A929" s="68"/>
      <c r="B929" s="68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</row>
    <row r="930">
      <c r="A930" s="68"/>
      <c r="B930" s="68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</row>
    <row r="931">
      <c r="A931" s="68"/>
      <c r="B931" s="68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</row>
    <row r="932">
      <c r="A932" s="68"/>
      <c r="B932" s="68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</row>
    <row r="933">
      <c r="A933" s="68"/>
      <c r="B933" s="68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</row>
    <row r="934">
      <c r="A934" s="68"/>
      <c r="B934" s="68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</row>
    <row r="935">
      <c r="A935" s="68"/>
      <c r="B935" s="68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</row>
    <row r="936">
      <c r="A936" s="68"/>
      <c r="B936" s="68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</row>
    <row r="937">
      <c r="A937" s="68"/>
      <c r="B937" s="68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</row>
    <row r="938">
      <c r="A938" s="68"/>
      <c r="B938" s="68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</row>
    <row r="939">
      <c r="A939" s="68"/>
      <c r="B939" s="68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</row>
    <row r="940">
      <c r="A940" s="68"/>
      <c r="B940" s="68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</row>
    <row r="941">
      <c r="A941" s="68"/>
      <c r="B941" s="68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</row>
    <row r="942">
      <c r="A942" s="68"/>
      <c r="B942" s="68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</row>
    <row r="943">
      <c r="A943" s="68"/>
      <c r="B943" s="68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</row>
    <row r="944">
      <c r="A944" s="68"/>
      <c r="B944" s="68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</row>
    <row r="945">
      <c r="A945" s="68"/>
      <c r="B945" s="68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</row>
    <row r="946">
      <c r="A946" s="68"/>
      <c r="B946" s="68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</row>
    <row r="947">
      <c r="A947" s="68"/>
      <c r="B947" s="68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</row>
    <row r="948">
      <c r="A948" s="68"/>
      <c r="B948" s="68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</row>
    <row r="949">
      <c r="A949" s="68"/>
      <c r="B949" s="68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</row>
    <row r="950">
      <c r="A950" s="68"/>
      <c r="B950" s="68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</row>
    <row r="951">
      <c r="A951" s="68"/>
      <c r="B951" s="68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</row>
    <row r="952">
      <c r="A952" s="68"/>
      <c r="B952" s="68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</row>
    <row r="953">
      <c r="A953" s="68"/>
      <c r="B953" s="68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</row>
    <row r="954">
      <c r="A954" s="68"/>
      <c r="B954" s="68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</row>
    <row r="955">
      <c r="A955" s="68"/>
      <c r="B955" s="68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</row>
    <row r="956">
      <c r="A956" s="68"/>
      <c r="B956" s="68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</row>
    <row r="957">
      <c r="A957" s="68"/>
      <c r="B957" s="68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</row>
    <row r="958">
      <c r="A958" s="68"/>
      <c r="B958" s="68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</row>
    <row r="959">
      <c r="A959" s="68"/>
      <c r="B959" s="68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</row>
    <row r="960">
      <c r="A960" s="68"/>
      <c r="B960" s="68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</row>
    <row r="961">
      <c r="A961" s="68"/>
      <c r="B961" s="68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</row>
    <row r="962">
      <c r="A962" s="68"/>
      <c r="B962" s="68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</row>
    <row r="963">
      <c r="A963" s="68"/>
      <c r="B963" s="68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</row>
    <row r="964">
      <c r="A964" s="68"/>
      <c r="B964" s="68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</row>
    <row r="965">
      <c r="A965" s="68"/>
      <c r="B965" s="68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</row>
    <row r="966">
      <c r="A966" s="68"/>
      <c r="B966" s="68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</row>
    <row r="967">
      <c r="A967" s="68"/>
      <c r="B967" s="68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</row>
    <row r="968">
      <c r="A968" s="68"/>
      <c r="B968" s="68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</row>
    <row r="969">
      <c r="A969" s="68"/>
      <c r="B969" s="68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</row>
    <row r="970">
      <c r="A970" s="68"/>
      <c r="B970" s="68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</row>
    <row r="971">
      <c r="A971" s="68"/>
      <c r="B971" s="68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</row>
    <row r="972">
      <c r="A972" s="68"/>
      <c r="B972" s="68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</row>
    <row r="973">
      <c r="A973" s="68"/>
      <c r="B973" s="68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</row>
    <row r="974">
      <c r="A974" s="68"/>
      <c r="B974" s="68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</row>
    <row r="975">
      <c r="A975" s="68"/>
      <c r="B975" s="68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</row>
    <row r="976">
      <c r="A976" s="68"/>
      <c r="B976" s="68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</row>
    <row r="977">
      <c r="A977" s="68"/>
      <c r="B977" s="68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</row>
    <row r="978">
      <c r="A978" s="68"/>
      <c r="B978" s="68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</row>
    <row r="979">
      <c r="A979" s="68"/>
      <c r="B979" s="68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</row>
    <row r="980">
      <c r="A980" s="68"/>
      <c r="B980" s="68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</row>
    <row r="981">
      <c r="A981" s="68"/>
      <c r="B981" s="68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</row>
    <row r="982">
      <c r="A982" s="68"/>
      <c r="B982" s="68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</row>
    <row r="983">
      <c r="A983" s="68"/>
      <c r="B983" s="68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</row>
    <row r="984">
      <c r="A984" s="68"/>
      <c r="B984" s="68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</row>
    <row r="985">
      <c r="A985" s="68"/>
      <c r="B985" s="68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</row>
    <row r="986">
      <c r="A986" s="68"/>
      <c r="B986" s="68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</row>
    <row r="987">
      <c r="A987" s="68"/>
      <c r="B987" s="68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</row>
    <row r="988">
      <c r="A988" s="68"/>
      <c r="B988" s="68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</row>
    <row r="989">
      <c r="A989" s="68"/>
      <c r="B989" s="68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</row>
    <row r="990">
      <c r="A990" s="68"/>
      <c r="B990" s="68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</row>
    <row r="991">
      <c r="A991" s="68"/>
      <c r="B991" s="68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</row>
    <row r="992">
      <c r="A992" s="68"/>
      <c r="B992" s="68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</row>
    <row r="993">
      <c r="A993" s="68"/>
      <c r="B993" s="68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</row>
    <row r="994">
      <c r="A994" s="68"/>
      <c r="B994" s="68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</row>
    <row r="995">
      <c r="A995" s="68"/>
      <c r="B995" s="68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</row>
    <row r="996">
      <c r="A996" s="68"/>
      <c r="B996" s="68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</row>
    <row r="997">
      <c r="A997" s="68"/>
      <c r="B997" s="68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</row>
    <row r="998">
      <c r="A998" s="68"/>
      <c r="B998" s="68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</row>
    <row r="999">
      <c r="A999" s="68"/>
      <c r="B999" s="68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</row>
    <row r="1000">
      <c r="A1000" s="68"/>
      <c r="B1000" s="68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</row>
    <row r="1001">
      <c r="A1001" s="68"/>
      <c r="B1001" s="68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</row>
    <row r="1002">
      <c r="A1002" s="68"/>
      <c r="B1002" s="68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</row>
    <row r="1003">
      <c r="A1003" s="68"/>
      <c r="B1003" s="68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</row>
    <row r="1004">
      <c r="A1004" s="68"/>
      <c r="B1004" s="68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</row>
    <row r="1005">
      <c r="A1005" s="68"/>
      <c r="B1005" s="68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</row>
    <row r="1006">
      <c r="A1006" s="68"/>
      <c r="B1006" s="68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</row>
    <row r="1007">
      <c r="A1007" s="68"/>
      <c r="B1007" s="68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</row>
    <row r="1008">
      <c r="A1008" s="68"/>
      <c r="B1008" s="68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</row>
    <row r="1009">
      <c r="A1009" s="68"/>
      <c r="B1009" s="68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</row>
    <row r="1010">
      <c r="A1010" s="68"/>
      <c r="B1010" s="68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</row>
    <row r="1011">
      <c r="A1011" s="68"/>
      <c r="B1011" s="68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</row>
    <row r="1012">
      <c r="A1012" s="68"/>
      <c r="B1012" s="68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</row>
    <row r="1013">
      <c r="A1013" s="68"/>
      <c r="B1013" s="68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</row>
    <row r="1014">
      <c r="A1014" s="68"/>
      <c r="B1014" s="68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</row>
    <row r="1015">
      <c r="A1015" s="68"/>
      <c r="B1015" s="68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</row>
    <row r="1016">
      <c r="A1016" s="68"/>
      <c r="B1016" s="68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</row>
    <row r="1017">
      <c r="A1017" s="68"/>
      <c r="B1017" s="68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</row>
    <row r="1018">
      <c r="A1018" s="68"/>
      <c r="B1018" s="68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</row>
    <row r="1019">
      <c r="A1019" s="68"/>
      <c r="B1019" s="68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</row>
    <row r="1020">
      <c r="A1020" s="68"/>
      <c r="B1020" s="68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</row>
    <row r="1021">
      <c r="A1021" s="68"/>
      <c r="B1021" s="68"/>
      <c r="C1021" s="40"/>
      <c r="D1021" s="40"/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</row>
    <row r="1022">
      <c r="A1022" s="68"/>
      <c r="B1022" s="68"/>
      <c r="C1022" s="40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</row>
    <row r="1023">
      <c r="A1023" s="68"/>
      <c r="B1023" s="68"/>
      <c r="C1023" s="40"/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</row>
    <row r="1024">
      <c r="A1024" s="68"/>
      <c r="B1024" s="68"/>
      <c r="C1024" s="40"/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</row>
    <row r="1025">
      <c r="A1025" s="68"/>
      <c r="B1025" s="68"/>
      <c r="C1025" s="40"/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</row>
    <row r="1026">
      <c r="A1026" s="68"/>
      <c r="B1026" s="68"/>
      <c r="C1026" s="40"/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</row>
    <row r="1027">
      <c r="A1027" s="68"/>
      <c r="B1027" s="68"/>
      <c r="C1027" s="40"/>
      <c r="D1027" s="40"/>
      <c r="E1027" s="40"/>
      <c r="F1027" s="40"/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</row>
    <row r="1028">
      <c r="A1028" s="68"/>
      <c r="B1028" s="68"/>
      <c r="C1028" s="40"/>
      <c r="D1028" s="40"/>
      <c r="E1028" s="40"/>
      <c r="F1028" s="40"/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</row>
    <row r="1029">
      <c r="A1029" s="68"/>
      <c r="B1029" s="68"/>
      <c r="C1029" s="40"/>
      <c r="D1029" s="40"/>
      <c r="E1029" s="40"/>
      <c r="F1029" s="40"/>
      <c r="G1029" s="40"/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</row>
    <row r="1030">
      <c r="A1030" s="68"/>
      <c r="B1030" s="68"/>
      <c r="C1030" s="40"/>
      <c r="D1030" s="40"/>
      <c r="E1030" s="40"/>
      <c r="F1030" s="40"/>
      <c r="G1030" s="40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</row>
    <row r="1031">
      <c r="A1031" s="68"/>
      <c r="B1031" s="68"/>
      <c r="C1031" s="40"/>
      <c r="D1031" s="40"/>
      <c r="E1031" s="40"/>
      <c r="F1031" s="40"/>
      <c r="G1031" s="40"/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</row>
    <row r="1032">
      <c r="A1032" s="68"/>
      <c r="B1032" s="68"/>
      <c r="C1032" s="40"/>
      <c r="D1032" s="40"/>
      <c r="E1032" s="40"/>
      <c r="F1032" s="40"/>
      <c r="G1032" s="40"/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</row>
    <row r="1033">
      <c r="A1033" s="68"/>
      <c r="B1033" s="68"/>
      <c r="C1033" s="40"/>
      <c r="D1033" s="40"/>
      <c r="E1033" s="40"/>
      <c r="F1033" s="40"/>
      <c r="G1033" s="40"/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</row>
    <row r="1034">
      <c r="A1034" s="68"/>
      <c r="B1034" s="68"/>
      <c r="C1034" s="40"/>
      <c r="D1034" s="40"/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</row>
    <row r="1035">
      <c r="A1035" s="68"/>
      <c r="B1035" s="68"/>
      <c r="C1035" s="40"/>
      <c r="D1035" s="40"/>
      <c r="E1035" s="40"/>
      <c r="F1035" s="40"/>
      <c r="G1035" s="40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5" width="14.63"/>
  </cols>
  <sheetData>
    <row r="1">
      <c r="A1" s="76" t="s">
        <v>85</v>
      </c>
      <c r="B1" s="77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15"/>
      <c r="B2" s="17" t="s">
        <v>86</v>
      </c>
      <c r="C2" s="78">
        <v>45682.0</v>
      </c>
      <c r="D2" s="78">
        <v>45713.0</v>
      </c>
      <c r="E2" s="78">
        <v>45741.0</v>
      </c>
      <c r="F2" s="78">
        <v>45772.0</v>
      </c>
      <c r="G2" s="79">
        <v>45802.0</v>
      </c>
      <c r="H2" s="78">
        <v>45833.0</v>
      </c>
      <c r="I2" s="78">
        <v>45863.0</v>
      </c>
      <c r="J2" s="78">
        <v>45894.0</v>
      </c>
      <c r="K2" s="78">
        <v>45925.0</v>
      </c>
      <c r="L2" s="78">
        <v>45955.0</v>
      </c>
      <c r="M2" s="78">
        <v>45986.0</v>
      </c>
      <c r="N2" s="78">
        <v>46016.0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16" t="s">
        <v>87</v>
      </c>
      <c r="B3" s="77"/>
      <c r="C3" s="80">
        <f>'Satış Departman Verisi'!M10</f>
        <v>1452181</v>
      </c>
      <c r="D3" s="80">
        <f>'Satış Departman Verisi'!N10</f>
        <v>1508709</v>
      </c>
      <c r="E3" s="80">
        <f>'Satış Departman Verisi'!O10</f>
        <v>1190281</v>
      </c>
      <c r="F3" s="80">
        <f>'Satış Departman Verisi'!P10</f>
        <v>1868402</v>
      </c>
      <c r="G3" s="80">
        <f>'Satış Departman Verisi'!Q10</f>
        <v>1807220</v>
      </c>
      <c r="H3" s="80">
        <f>'Satış Departman Verisi'!R10</f>
        <v>1485332</v>
      </c>
      <c r="I3" s="80">
        <f>'Satış Departman Verisi'!S10</f>
        <v>2203964</v>
      </c>
      <c r="J3" s="80">
        <f>'Satış Departman Verisi'!T10</f>
        <v>1395066</v>
      </c>
      <c r="K3" s="80">
        <f>'Satış Departman Verisi'!U10</f>
        <v>1979165</v>
      </c>
      <c r="L3" s="80">
        <f>'Satış Departman Verisi'!V10</f>
        <v>1754966</v>
      </c>
      <c r="M3" s="80">
        <f>'Satış Departman Verisi'!W10</f>
        <v>1576529</v>
      </c>
      <c r="N3" s="81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15"/>
      <c r="B4" s="77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15"/>
      <c r="B5" s="77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15"/>
      <c r="B6" s="77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15"/>
      <c r="B7" s="17" t="s">
        <v>88</v>
      </c>
      <c r="C7" s="78">
        <v>45682.0</v>
      </c>
      <c r="D7" s="78">
        <v>45713.0</v>
      </c>
      <c r="E7" s="78">
        <v>45741.0</v>
      </c>
      <c r="F7" s="78">
        <v>45772.0</v>
      </c>
      <c r="G7" s="79">
        <v>45802.0</v>
      </c>
      <c r="H7" s="78">
        <v>45833.0</v>
      </c>
      <c r="I7" s="78">
        <v>45863.0</v>
      </c>
      <c r="J7" s="78">
        <v>45894.0</v>
      </c>
      <c r="K7" s="78">
        <v>45925.0</v>
      </c>
      <c r="L7" s="78">
        <v>45955.0</v>
      </c>
      <c r="M7" s="78">
        <v>45986.0</v>
      </c>
      <c r="N7" s="78">
        <v>46016.0</v>
      </c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16" t="s">
        <v>87</v>
      </c>
      <c r="B8" s="77"/>
      <c r="C8" s="82">
        <f>'Satış Departman Verisi'!M26</f>
        <v>1459275</v>
      </c>
      <c r="D8" s="82">
        <f>'Satış Departman Verisi'!N26</f>
        <v>781163.93</v>
      </c>
      <c r="E8" s="82">
        <f>'Satış Departman Verisi'!O26</f>
        <v>732093</v>
      </c>
      <c r="F8" s="82">
        <f>'Satış Departman Verisi'!P26</f>
        <v>1166503</v>
      </c>
      <c r="G8" s="82">
        <f>'Satış Departman Verisi'!Q26</f>
        <v>643089</v>
      </c>
      <c r="H8" s="82">
        <f>'Satış Departman Verisi'!R26</f>
        <v>473637</v>
      </c>
      <c r="I8" s="82">
        <f>'Satış Departman Verisi'!S26</f>
        <v>1981194</v>
      </c>
      <c r="J8" s="82">
        <f>'Satış Departman Verisi'!T26</f>
        <v>323951</v>
      </c>
      <c r="K8" s="82">
        <f>'Satış Departman Verisi'!U26</f>
        <v>313366</v>
      </c>
      <c r="L8" s="82">
        <f>'Satış Departman Verisi'!V26</f>
        <v>319627</v>
      </c>
      <c r="M8" s="81"/>
      <c r="N8" s="81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15"/>
      <c r="B9" s="77"/>
      <c r="C9" s="68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15"/>
      <c r="B10" s="77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15"/>
      <c r="B11" s="77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15"/>
      <c r="B12" s="17" t="s">
        <v>89</v>
      </c>
      <c r="C12" s="78">
        <v>45682.0</v>
      </c>
      <c r="D12" s="78">
        <v>45713.0</v>
      </c>
      <c r="E12" s="78">
        <v>45741.0</v>
      </c>
      <c r="F12" s="78">
        <v>45772.0</v>
      </c>
      <c r="G12" s="79">
        <v>45802.0</v>
      </c>
      <c r="H12" s="78">
        <v>45833.0</v>
      </c>
      <c r="I12" s="78">
        <v>45863.0</v>
      </c>
      <c r="J12" s="78">
        <v>45894.0</v>
      </c>
      <c r="K12" s="78">
        <v>45925.0</v>
      </c>
      <c r="L12" s="78">
        <v>45955.0</v>
      </c>
      <c r="M12" s="78">
        <v>45986.0</v>
      </c>
      <c r="N12" s="78">
        <v>46016.0</v>
      </c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16" t="s">
        <v>90</v>
      </c>
      <c r="B13" s="77"/>
      <c r="C13" s="82">
        <f>'Satış Departman Verisi'!M42</f>
        <v>491879.34</v>
      </c>
      <c r="D13" s="82">
        <f>'Satış Departman Verisi'!N42</f>
        <v>790041.89</v>
      </c>
      <c r="E13" s="82">
        <f>'Satış Departman Verisi'!O42</f>
        <v>374298.77</v>
      </c>
      <c r="F13" s="82">
        <f>'Satış Departman Verisi'!P42</f>
        <v>427805.55</v>
      </c>
      <c r="G13" s="82">
        <f>'Satış Departman Verisi'!Q42</f>
        <v>501227.45</v>
      </c>
      <c r="H13" s="82">
        <f>'Satış Departman Verisi'!R42</f>
        <v>439259.98</v>
      </c>
      <c r="I13" s="82">
        <f>'Satış Departman Verisi'!S42</f>
        <v>379764.73</v>
      </c>
      <c r="J13" s="82">
        <f>'Satış Departman Verisi'!T42</f>
        <v>813659.04</v>
      </c>
      <c r="K13" s="82">
        <f>'Satış Departman Verisi'!U42</f>
        <v>519257.15</v>
      </c>
      <c r="L13" s="82">
        <f>'Satış Departman Verisi'!V42</f>
        <v>407776.75</v>
      </c>
      <c r="M13" s="82">
        <f>'Satış Departman Verisi'!W42</f>
        <v>361735</v>
      </c>
      <c r="N13" s="81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15"/>
      <c r="B14" s="77"/>
      <c r="C14" s="68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15"/>
      <c r="B15" s="77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15"/>
      <c r="B16" s="17" t="s">
        <v>54</v>
      </c>
      <c r="C16" s="78">
        <v>45682.0</v>
      </c>
      <c r="D16" s="78">
        <v>45713.0</v>
      </c>
      <c r="E16" s="78">
        <v>45741.0</v>
      </c>
      <c r="F16" s="78">
        <v>45772.0</v>
      </c>
      <c r="G16" s="79">
        <v>45802.0</v>
      </c>
      <c r="H16" s="78">
        <v>45833.0</v>
      </c>
      <c r="I16" s="78">
        <v>45863.0</v>
      </c>
      <c r="J16" s="78">
        <v>45894.0</v>
      </c>
      <c r="K16" s="78">
        <v>45925.0</v>
      </c>
      <c r="L16" s="78">
        <v>45955.0</v>
      </c>
      <c r="M16" s="78">
        <v>45986.0</v>
      </c>
      <c r="N16" s="78">
        <v>46016.0</v>
      </c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16" t="s">
        <v>87</v>
      </c>
      <c r="B17" s="77"/>
      <c r="C17" s="82">
        <f>'Satış Departmanı Verisi'!C46</f>
        <v>10592.83</v>
      </c>
      <c r="D17" s="82">
        <f>'Satış Departmanı Verisi'!D46</f>
        <v>5098</v>
      </c>
      <c r="E17" s="82">
        <f>'Satış Departmanı Verisi'!E46</f>
        <v>8841</v>
      </c>
      <c r="F17" s="82">
        <f>'Satış Departmanı Verisi'!F46</f>
        <v>11190</v>
      </c>
      <c r="G17" s="82">
        <f>'Satış Departmanı Verisi'!G46</f>
        <v>10844</v>
      </c>
      <c r="H17" s="82">
        <f>'Satış Departmanı Verisi'!H46</f>
        <v>3811</v>
      </c>
      <c r="I17" s="82">
        <f>'Satış Departmanı Verisi'!I46</f>
        <v>14360</v>
      </c>
      <c r="J17" s="82">
        <f>'Satış Departmanı Verisi'!J46</f>
        <v>8123</v>
      </c>
      <c r="K17" s="82">
        <f>'Satış Departmanı Verisi'!K46</f>
        <v>6414</v>
      </c>
      <c r="L17" s="82" t="str">
        <f>'Satış Departmanı Verisi'!L46</f>
        <v/>
      </c>
      <c r="M17" s="82" t="str">
        <f>'Satış Departmanı Verisi'!M46</f>
        <v/>
      </c>
      <c r="N17" s="83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15"/>
      <c r="B18" s="77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8" max="8" width="9.25"/>
    <col customWidth="1" min="10" max="10" width="13.75"/>
    <col customWidth="1" min="11" max="11" width="13.63"/>
  </cols>
  <sheetData>
    <row r="1">
      <c r="A1" s="84"/>
      <c r="B1" s="84"/>
      <c r="C1" s="84"/>
      <c r="D1" s="84"/>
      <c r="E1" s="84"/>
      <c r="F1" s="84"/>
      <c r="G1" s="84"/>
      <c r="H1" s="84"/>
    </row>
    <row r="2">
      <c r="A2" s="84"/>
      <c r="B2" s="84"/>
      <c r="C2" s="84"/>
      <c r="D2" s="84"/>
      <c r="E2" s="84"/>
      <c r="F2" s="84"/>
      <c r="G2" s="84"/>
      <c r="H2" s="84"/>
    </row>
    <row r="3">
      <c r="A3" s="84"/>
      <c r="B3" s="84"/>
      <c r="C3" s="84"/>
      <c r="D3" s="84"/>
      <c r="E3" s="84"/>
      <c r="F3" s="84"/>
      <c r="G3" s="84"/>
      <c r="H3" s="84"/>
    </row>
    <row r="4">
      <c r="A4" s="84"/>
      <c r="B4" s="84"/>
      <c r="C4" s="84"/>
      <c r="D4" s="84"/>
      <c r="E4" s="84"/>
      <c r="F4" s="84"/>
      <c r="G4" s="84"/>
      <c r="H4" s="84"/>
    </row>
    <row r="5">
      <c r="A5" s="84"/>
      <c r="B5" s="84"/>
      <c r="C5" s="84"/>
      <c r="D5" s="84"/>
      <c r="E5" s="84"/>
      <c r="F5" s="84"/>
      <c r="G5" s="84"/>
      <c r="H5" s="84"/>
    </row>
    <row r="6">
      <c r="A6" s="84"/>
      <c r="B6" s="84"/>
      <c r="C6" s="84"/>
      <c r="D6" s="84"/>
      <c r="E6" s="84"/>
      <c r="F6" s="84"/>
      <c r="G6" s="84"/>
      <c r="H6" s="84"/>
    </row>
    <row r="7">
      <c r="A7" s="84"/>
      <c r="B7" s="84"/>
      <c r="C7" s="84"/>
      <c r="D7" s="84"/>
      <c r="E7" s="84"/>
      <c r="F7" s="84"/>
      <c r="G7" s="84"/>
      <c r="H7" s="84"/>
    </row>
    <row r="8">
      <c r="A8" s="84"/>
      <c r="B8" s="84"/>
      <c r="C8" s="84"/>
      <c r="D8" s="84"/>
      <c r="E8" s="84"/>
      <c r="F8" s="84"/>
      <c r="G8" s="84"/>
      <c r="H8" s="84"/>
    </row>
    <row r="9">
      <c r="A9" s="84"/>
      <c r="B9" s="84"/>
      <c r="C9" s="84"/>
      <c r="D9" s="84"/>
      <c r="E9" s="84"/>
      <c r="F9" s="84"/>
      <c r="G9" s="84"/>
      <c r="H9" s="84"/>
    </row>
    <row r="10">
      <c r="A10" s="84"/>
      <c r="B10" s="84"/>
      <c r="C10" s="84"/>
      <c r="D10" s="84"/>
      <c r="E10" s="84"/>
      <c r="F10" s="84"/>
      <c r="G10" s="84"/>
      <c r="H10" s="84"/>
    </row>
    <row r="11">
      <c r="A11" s="84"/>
      <c r="B11" s="84"/>
      <c r="C11" s="84"/>
      <c r="D11" s="84"/>
      <c r="E11" s="84"/>
      <c r="F11" s="84"/>
      <c r="G11" s="84"/>
      <c r="H11" s="84"/>
    </row>
    <row r="12">
      <c r="A12" s="84"/>
      <c r="B12" s="84"/>
      <c r="C12" s="84"/>
      <c r="D12" s="84"/>
      <c r="E12" s="84"/>
      <c r="F12" s="84"/>
      <c r="G12" s="84"/>
      <c r="H12" s="84"/>
    </row>
    <row r="13">
      <c r="A13" s="84"/>
      <c r="B13" s="84"/>
      <c r="C13" s="84"/>
      <c r="D13" s="84"/>
      <c r="E13" s="84"/>
      <c r="F13" s="84"/>
      <c r="G13" s="84"/>
      <c r="H13" s="84"/>
    </row>
    <row r="14">
      <c r="A14" s="84"/>
      <c r="B14" s="84"/>
      <c r="C14" s="84"/>
      <c r="D14" s="84"/>
      <c r="E14" s="84"/>
      <c r="F14" s="84"/>
      <c r="G14" s="84"/>
      <c r="H14" s="84"/>
    </row>
    <row r="15">
      <c r="A15" s="84"/>
      <c r="B15" s="84"/>
      <c r="C15" s="84"/>
      <c r="D15" s="84"/>
      <c r="E15" s="84"/>
      <c r="F15" s="84"/>
      <c r="G15" s="84"/>
      <c r="H15" s="84"/>
    </row>
    <row r="16">
      <c r="A16" s="84"/>
      <c r="B16" s="84"/>
      <c r="C16" s="84"/>
      <c r="D16" s="84"/>
      <c r="E16" s="84"/>
      <c r="F16" s="84"/>
      <c r="G16" s="84"/>
      <c r="H16" s="84"/>
    </row>
    <row r="17">
      <c r="A17" s="84"/>
      <c r="B17" s="84"/>
      <c r="C17" s="84"/>
      <c r="D17" s="84"/>
      <c r="E17" s="84"/>
      <c r="F17" s="84"/>
      <c r="G17" s="84"/>
      <c r="H17" s="84"/>
    </row>
    <row r="18">
      <c r="A18" s="84"/>
      <c r="B18" s="84"/>
      <c r="C18" s="84"/>
      <c r="D18" s="84"/>
      <c r="E18" s="84"/>
      <c r="F18" s="84"/>
      <c r="G18" s="84"/>
      <c r="H18" s="84"/>
    </row>
    <row r="19">
      <c r="A19" s="84"/>
      <c r="B19" s="84"/>
      <c r="C19" s="84"/>
      <c r="D19" s="84"/>
      <c r="E19" s="84"/>
      <c r="F19" s="84"/>
      <c r="G19" s="84"/>
      <c r="H19" s="84"/>
    </row>
    <row r="20">
      <c r="A20" s="84"/>
      <c r="B20" s="84"/>
      <c r="C20" s="84"/>
      <c r="D20" s="84"/>
      <c r="E20" s="84"/>
      <c r="F20" s="84"/>
      <c r="G20" s="84"/>
      <c r="H20" s="84"/>
    </row>
    <row r="21">
      <c r="A21" s="84"/>
      <c r="B21" s="84"/>
      <c r="C21" s="84"/>
      <c r="D21" s="84"/>
      <c r="E21" s="84"/>
      <c r="F21" s="84"/>
      <c r="G21" s="84"/>
      <c r="H21" s="84"/>
    </row>
    <row r="22">
      <c r="A22" s="84"/>
      <c r="B22" s="84"/>
      <c r="C22" s="84"/>
      <c r="D22" s="84"/>
      <c r="E22" s="84"/>
      <c r="F22" s="84"/>
      <c r="G22" s="84"/>
      <c r="H22" s="84"/>
    </row>
    <row r="23">
      <c r="A23" s="84"/>
      <c r="B23" s="84"/>
      <c r="C23" s="84"/>
      <c r="D23" s="84"/>
      <c r="E23" s="84"/>
      <c r="F23" s="84"/>
      <c r="G23" s="84"/>
      <c r="H23" s="84"/>
    </row>
    <row r="27">
      <c r="A27" s="12" t="s">
        <v>91</v>
      </c>
    </row>
    <row r="28">
      <c r="A28" s="17">
        <v>2015.0</v>
      </c>
      <c r="B28" s="17">
        <v>2016.0</v>
      </c>
      <c r="C28" s="17">
        <v>2017.0</v>
      </c>
      <c r="D28" s="17">
        <v>2018.0</v>
      </c>
      <c r="E28" s="17">
        <v>2019.0</v>
      </c>
      <c r="F28" s="17">
        <v>2020.0</v>
      </c>
      <c r="G28" s="17">
        <v>2021.0</v>
      </c>
      <c r="H28" s="17">
        <v>2022.0</v>
      </c>
      <c r="I28" s="17">
        <v>2023.0</v>
      </c>
      <c r="J28" s="17">
        <v>2024.0</v>
      </c>
      <c r="K28" s="17">
        <v>2025.0</v>
      </c>
    </row>
    <row r="29">
      <c r="A29" s="23">
        <v>1.3882589E7</v>
      </c>
      <c r="B29" s="23">
        <v>7111065.0</v>
      </c>
      <c r="C29" s="23">
        <v>1.0060317E7</v>
      </c>
      <c r="D29" s="23">
        <v>9817554.0</v>
      </c>
      <c r="E29" s="23">
        <v>8035913.0</v>
      </c>
      <c r="F29" s="23">
        <v>1.2854873E7</v>
      </c>
      <c r="G29" s="23">
        <v>1.1246016E7</v>
      </c>
      <c r="H29" s="23">
        <v>1.5938774E7</v>
      </c>
      <c r="I29" s="23">
        <v>1.9580773E7</v>
      </c>
      <c r="J29" s="23">
        <v>2.8260753E7</v>
      </c>
      <c r="K29" s="23" t="str">
        <f>#REF!</f>
        <v>#REF!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9.38"/>
  </cols>
  <sheetData>
    <row r="1">
      <c r="A1" s="85" t="s">
        <v>92</v>
      </c>
    </row>
    <row r="2">
      <c r="A2" s="16" t="s">
        <v>57</v>
      </c>
      <c r="B2" s="86" t="str">
        <f t="shared" ref="B2:B8" si="1">#REF!</f>
        <v>#REF!</v>
      </c>
    </row>
    <row r="3">
      <c r="A3" s="16" t="s">
        <v>58</v>
      </c>
      <c r="B3" s="86" t="str">
        <f t="shared" si="1"/>
        <v>#REF!</v>
      </c>
    </row>
    <row r="4">
      <c r="A4" s="16" t="s">
        <v>59</v>
      </c>
      <c r="B4" s="86" t="str">
        <f t="shared" si="1"/>
        <v>#REF!</v>
      </c>
    </row>
    <row r="5">
      <c r="A5" s="16" t="s">
        <v>60</v>
      </c>
      <c r="B5" s="86" t="str">
        <f t="shared" si="1"/>
        <v>#REF!</v>
      </c>
    </row>
    <row r="6">
      <c r="A6" s="16" t="s">
        <v>61</v>
      </c>
      <c r="B6" s="86" t="str">
        <f t="shared" si="1"/>
        <v>#REF!</v>
      </c>
    </row>
    <row r="7">
      <c r="A7" s="16" t="s">
        <v>62</v>
      </c>
      <c r="B7" s="86" t="str">
        <f t="shared" si="1"/>
        <v>#REF!</v>
      </c>
    </row>
    <row r="8">
      <c r="A8" s="16" t="s">
        <v>63</v>
      </c>
      <c r="B8" s="86" t="str">
        <f t="shared" si="1"/>
        <v>#REF!</v>
      </c>
    </row>
    <row r="9">
      <c r="A9" s="17"/>
    </row>
    <row r="10">
      <c r="A10" s="87" t="s">
        <v>66</v>
      </c>
      <c r="B10" s="86" t="str">
        <f t="shared" ref="B10:B14" si="2">#REF!</f>
        <v>#REF!</v>
      </c>
    </row>
    <row r="11">
      <c r="A11" s="16" t="s">
        <v>67</v>
      </c>
      <c r="B11" s="86" t="str">
        <f t="shared" si="2"/>
        <v>#REF!</v>
      </c>
    </row>
    <row r="12">
      <c r="A12" s="16" t="s">
        <v>68</v>
      </c>
      <c r="B12" s="86" t="str">
        <f t="shared" si="2"/>
        <v>#REF!</v>
      </c>
    </row>
    <row r="13">
      <c r="A13" s="16" t="s">
        <v>69</v>
      </c>
      <c r="B13" s="86" t="str">
        <f t="shared" si="2"/>
        <v>#REF!</v>
      </c>
    </row>
    <row r="14">
      <c r="A14" s="16" t="s">
        <v>70</v>
      </c>
      <c r="B14" s="86" t="str">
        <f t="shared" si="2"/>
        <v>#REF!</v>
      </c>
    </row>
    <row r="15">
      <c r="A15" s="16"/>
    </row>
    <row r="16">
      <c r="A16" s="88" t="s">
        <v>53</v>
      </c>
      <c r="B16" s="86" t="str">
        <f t="shared" ref="B16:B20" si="3">#REF!</f>
        <v>#REF!</v>
      </c>
    </row>
    <row r="17">
      <c r="A17" s="66" t="s">
        <v>71</v>
      </c>
      <c r="B17" s="86" t="str">
        <f t="shared" si="3"/>
        <v>#REF!</v>
      </c>
    </row>
    <row r="18">
      <c r="A18" s="66" t="s">
        <v>72</v>
      </c>
      <c r="B18" s="86" t="str">
        <f t="shared" si="3"/>
        <v>#REF!</v>
      </c>
    </row>
    <row r="19">
      <c r="A19" s="66" t="s">
        <v>73</v>
      </c>
      <c r="B19" s="86" t="str">
        <f t="shared" si="3"/>
        <v>#REF!</v>
      </c>
    </row>
    <row r="20">
      <c r="A20" s="66" t="s">
        <v>74</v>
      </c>
      <c r="B20" s="86" t="str">
        <f t="shared" si="3"/>
        <v>#REF!</v>
      </c>
    </row>
    <row r="21">
      <c r="A21" s="16"/>
    </row>
    <row r="22">
      <c r="A22" s="16" t="s">
        <v>54</v>
      </c>
      <c r="B22" s="86" t="str">
        <f t="shared" ref="B22:B24" si="4">#REF!</f>
        <v>#REF!</v>
      </c>
    </row>
    <row r="23">
      <c r="A23" s="12" t="s">
        <v>60</v>
      </c>
      <c r="B23" s="86" t="str">
        <f t="shared" si="4"/>
        <v>#REF!</v>
      </c>
    </row>
    <row r="24">
      <c r="B24" s="86" t="str">
        <f t="shared" si="4"/>
        <v>#REF!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Col="1" outlineLevelRow="1"/>
  <cols>
    <col customWidth="1" min="1" max="1" width="45.38"/>
    <col customWidth="1" min="2" max="2" width="24.25"/>
    <col customWidth="1" min="3" max="3" width="14.63"/>
    <col customWidth="1" min="4" max="13" width="14.63" outlineLevel="1"/>
    <col customWidth="1" min="14" max="14" width="14.63"/>
  </cols>
  <sheetData>
    <row r="1">
      <c r="A1" s="15"/>
      <c r="B1" s="16"/>
      <c r="C1" s="18">
        <v>45658.0</v>
      </c>
      <c r="D1" s="18">
        <v>45659.0</v>
      </c>
      <c r="E1" s="18">
        <v>45660.0</v>
      </c>
      <c r="F1" s="18">
        <v>45661.0</v>
      </c>
      <c r="G1" s="18">
        <v>45662.0</v>
      </c>
      <c r="H1" s="18">
        <v>45663.0</v>
      </c>
      <c r="I1" s="18">
        <v>45664.0</v>
      </c>
      <c r="J1" s="18">
        <v>45665.0</v>
      </c>
      <c r="K1" s="18">
        <v>45666.0</v>
      </c>
      <c r="L1" s="18">
        <v>45667.0</v>
      </c>
      <c r="M1" s="18">
        <v>45668.0</v>
      </c>
      <c r="N1" s="18">
        <v>45669.0</v>
      </c>
    </row>
    <row r="2">
      <c r="A2" s="16"/>
      <c r="B2" s="15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>
      <c r="A3" s="20" t="s">
        <v>93</v>
      </c>
      <c r="B3" s="21"/>
      <c r="C3" s="23">
        <f>C7+C20+C33+C46</f>
        <v>2957900.83</v>
      </c>
      <c r="D3" s="23">
        <f t="shared" ref="D3:K3" si="1">D33+D46+D20+D7</f>
        <v>1714777.358</v>
      </c>
      <c r="E3" s="23">
        <f t="shared" si="1"/>
        <v>2320872</v>
      </c>
      <c r="F3" s="23">
        <f t="shared" si="1"/>
        <v>4269309</v>
      </c>
      <c r="G3" s="23">
        <f t="shared" si="1"/>
        <v>2867427</v>
      </c>
      <c r="H3" s="23">
        <f t="shared" si="1"/>
        <v>2421681</v>
      </c>
      <c r="I3" s="23">
        <f t="shared" si="1"/>
        <v>4572715</v>
      </c>
      <c r="J3" s="23">
        <f t="shared" si="1"/>
        <v>2402244</v>
      </c>
      <c r="K3" s="23">
        <f t="shared" si="1"/>
        <v>2961802</v>
      </c>
      <c r="L3" s="23">
        <v>2170000.0</v>
      </c>
      <c r="M3" s="23">
        <v>2170000.0</v>
      </c>
      <c r="N3" s="23">
        <v>2170000.0</v>
      </c>
    </row>
    <row r="4">
      <c r="A4" s="16"/>
      <c r="B4" s="16"/>
      <c r="L4" s="40"/>
      <c r="M4" s="40"/>
      <c r="N4" s="40"/>
    </row>
    <row r="5">
      <c r="A5" s="30" t="s">
        <v>37</v>
      </c>
      <c r="B5" s="31" t="s">
        <v>38</v>
      </c>
      <c r="C5" s="32"/>
      <c r="D5" s="32"/>
      <c r="E5" s="32"/>
      <c r="F5" s="32"/>
      <c r="G5" s="32"/>
      <c r="H5" s="32"/>
      <c r="I5" s="32"/>
      <c r="J5" s="32"/>
      <c r="K5" s="32"/>
      <c r="L5" s="34"/>
      <c r="M5" s="34"/>
      <c r="N5" s="34"/>
    </row>
    <row r="6" outlineLevel="1">
      <c r="B6" s="16" t="s">
        <v>39</v>
      </c>
      <c r="C6" s="35">
        <v>8.0</v>
      </c>
      <c r="D6" s="35">
        <v>8.0</v>
      </c>
      <c r="E6" s="35">
        <v>8.0</v>
      </c>
      <c r="F6" s="35">
        <v>8.0</v>
      </c>
      <c r="G6" s="35">
        <v>7.0</v>
      </c>
      <c r="H6" s="35">
        <v>7.0</v>
      </c>
      <c r="I6" s="35">
        <v>7.0</v>
      </c>
      <c r="J6" s="35">
        <v>7.0</v>
      </c>
      <c r="K6" s="35">
        <v>7.0</v>
      </c>
      <c r="L6" s="40"/>
      <c r="M6" s="40"/>
      <c r="N6" s="40"/>
    </row>
    <row r="7" outlineLevel="1">
      <c r="B7" s="16" t="s">
        <v>40</v>
      </c>
      <c r="C7" s="89">
        <f>sum(C59:C65)</f>
        <v>1445266</v>
      </c>
      <c r="D7" s="89">
        <v>1708601.0</v>
      </c>
      <c r="E7" s="89">
        <v>1208992.0</v>
      </c>
      <c r="F7" s="89">
        <v>2663810.0</v>
      </c>
      <c r="G7" s="89">
        <v>1706124.0</v>
      </c>
      <c r="H7" s="89">
        <v>1504993.0</v>
      </c>
      <c r="I7" s="89">
        <v>2197397.0</v>
      </c>
      <c r="J7" s="89">
        <v>1256025.0</v>
      </c>
      <c r="K7" s="89">
        <v>1992675.0</v>
      </c>
      <c r="L7" s="89"/>
      <c r="M7" s="89"/>
      <c r="N7" s="89"/>
    </row>
    <row r="8" outlineLevel="1">
      <c r="B8" s="16" t="s">
        <v>41</v>
      </c>
      <c r="C8" s="35">
        <f>C13+C14</f>
        <v>5</v>
      </c>
      <c r="D8" s="89"/>
      <c r="E8" s="89"/>
      <c r="F8" s="89"/>
      <c r="G8" s="89"/>
      <c r="H8" s="89"/>
      <c r="I8" s="89"/>
      <c r="J8" s="89"/>
      <c r="K8" s="35"/>
      <c r="L8" s="39"/>
      <c r="M8" s="39"/>
      <c r="N8" s="40"/>
    </row>
    <row r="9" outlineLevel="1">
      <c r="B9" s="16" t="s">
        <v>42</v>
      </c>
      <c r="C9" s="35">
        <f>C13+C14</f>
        <v>5</v>
      </c>
      <c r="D9" s="89"/>
      <c r="E9" s="89"/>
      <c r="F9" s="89"/>
      <c r="G9" s="89"/>
      <c r="H9" s="89"/>
      <c r="I9" s="89"/>
      <c r="J9" s="89"/>
      <c r="K9" s="35"/>
      <c r="L9" s="39"/>
      <c r="M9" s="39"/>
      <c r="N9" s="40"/>
    </row>
    <row r="10" outlineLevel="1">
      <c r="B10" s="16" t="s">
        <v>45</v>
      </c>
      <c r="C10" s="89">
        <f>C7/C6</f>
        <v>180658.25</v>
      </c>
      <c r="D10" s="89"/>
      <c r="E10" s="89"/>
      <c r="F10" s="89"/>
      <c r="G10" s="89"/>
      <c r="H10" s="89"/>
      <c r="I10" s="89"/>
      <c r="J10" s="89"/>
      <c r="K10" s="35"/>
      <c r="L10" s="39"/>
      <c r="M10" s="39"/>
      <c r="N10" s="40"/>
    </row>
    <row r="11" ht="3.75" customHeight="1" outlineLevel="1">
      <c r="A11" s="16"/>
      <c r="B11" s="16"/>
      <c r="C11" s="35"/>
      <c r="D11" s="35"/>
      <c r="E11" s="35"/>
      <c r="F11" s="35"/>
      <c r="G11" s="35"/>
      <c r="H11" s="35"/>
      <c r="I11" s="35"/>
      <c r="J11" s="35"/>
      <c r="K11" s="35"/>
      <c r="L11" s="39"/>
      <c r="M11" s="39"/>
      <c r="N11" s="40"/>
    </row>
    <row r="12" outlineLevel="1">
      <c r="A12" s="16"/>
      <c r="B12" s="41" t="s">
        <v>46</v>
      </c>
      <c r="C12" s="35"/>
      <c r="D12" s="35"/>
      <c r="E12" s="35"/>
      <c r="F12" s="35"/>
      <c r="G12" s="35"/>
      <c r="H12" s="35"/>
      <c r="I12" s="35"/>
      <c r="J12" s="35"/>
      <c r="K12" s="35"/>
      <c r="L12" s="39"/>
      <c r="M12" s="39"/>
      <c r="N12" s="40"/>
    </row>
    <row r="13" outlineLevel="1">
      <c r="A13" s="16"/>
      <c r="B13" s="16" t="s">
        <v>47</v>
      </c>
      <c r="C13" s="35">
        <v>4.0</v>
      </c>
      <c r="D13" s="35"/>
      <c r="E13" s="35"/>
      <c r="F13" s="35"/>
      <c r="G13" s="35"/>
      <c r="H13" s="35"/>
      <c r="I13" s="35"/>
      <c r="J13" s="35"/>
      <c r="K13" s="35"/>
      <c r="L13" s="39"/>
      <c r="M13" s="39"/>
      <c r="N13" s="40"/>
    </row>
    <row r="14" outlineLevel="1">
      <c r="A14" s="16"/>
      <c r="B14" s="16" t="s">
        <v>48</v>
      </c>
      <c r="C14" s="35">
        <v>1.0</v>
      </c>
      <c r="D14" s="35"/>
      <c r="E14" s="35"/>
      <c r="F14" s="35"/>
      <c r="G14" s="35"/>
      <c r="H14" s="35"/>
      <c r="I14" s="35"/>
      <c r="J14" s="35"/>
      <c r="K14" s="35"/>
      <c r="L14" s="39"/>
      <c r="M14" s="39"/>
      <c r="N14" s="40"/>
    </row>
    <row r="15" outlineLevel="1">
      <c r="A15" s="16"/>
      <c r="B15" s="16" t="s">
        <v>49</v>
      </c>
      <c r="C15" s="35"/>
      <c r="D15" s="35"/>
      <c r="E15" s="35"/>
      <c r="F15" s="35"/>
      <c r="G15" s="35"/>
      <c r="H15" s="35"/>
      <c r="I15" s="35"/>
      <c r="J15" s="35"/>
      <c r="K15" s="35"/>
      <c r="L15" s="39"/>
      <c r="M15" s="39"/>
      <c r="N15" s="40"/>
    </row>
    <row r="16" outlineLevel="1">
      <c r="A16" s="16"/>
      <c r="B16" s="16" t="s">
        <v>50</v>
      </c>
      <c r="C16" s="35"/>
      <c r="D16" s="35"/>
      <c r="E16" s="35"/>
      <c r="F16" s="35"/>
      <c r="G16" s="35"/>
      <c r="H16" s="35"/>
      <c r="I16" s="35"/>
      <c r="J16" s="35"/>
      <c r="K16" s="35"/>
      <c r="L16" s="39"/>
      <c r="M16" s="39"/>
      <c r="N16" s="40"/>
    </row>
    <row r="17">
      <c r="A17" s="16"/>
      <c r="B17" s="16"/>
      <c r="C17" s="35"/>
      <c r="D17" s="35"/>
      <c r="E17" s="35"/>
      <c r="F17" s="35"/>
      <c r="G17" s="35"/>
      <c r="H17" s="35"/>
      <c r="I17" s="35"/>
      <c r="J17" s="35"/>
      <c r="K17" s="35"/>
      <c r="L17" s="39"/>
      <c r="M17" s="39"/>
      <c r="N17" s="40"/>
    </row>
    <row r="18">
      <c r="A18" s="16"/>
      <c r="B18" s="42" t="s">
        <v>52</v>
      </c>
      <c r="C18" s="43"/>
      <c r="D18" s="43"/>
      <c r="E18" s="43"/>
      <c r="F18" s="43"/>
      <c r="G18" s="43"/>
      <c r="H18" s="43"/>
      <c r="I18" s="43"/>
      <c r="J18" s="43"/>
      <c r="K18" s="43"/>
      <c r="L18" s="44"/>
      <c r="M18" s="44"/>
      <c r="N18" s="34"/>
    </row>
    <row r="19" outlineLevel="1">
      <c r="B19" s="16" t="s">
        <v>39</v>
      </c>
      <c r="C19" s="35">
        <v>4.0</v>
      </c>
      <c r="D19" s="35">
        <v>4.0</v>
      </c>
      <c r="E19" s="35">
        <v>4.0</v>
      </c>
      <c r="F19" s="35">
        <v>4.0</v>
      </c>
      <c r="G19" s="35">
        <v>4.0</v>
      </c>
      <c r="H19" s="35">
        <v>4.0</v>
      </c>
      <c r="I19" s="35">
        <v>4.0</v>
      </c>
      <c r="J19" s="35">
        <v>4.0</v>
      </c>
      <c r="K19" s="35">
        <v>4.0</v>
      </c>
      <c r="L19" s="39"/>
      <c r="M19" s="39"/>
      <c r="N19" s="40"/>
    </row>
    <row r="20" outlineLevel="1">
      <c r="B20" s="16" t="s">
        <v>40</v>
      </c>
      <c r="C20" s="46">
        <f>sum(C68:C71)</f>
        <v>1459275</v>
      </c>
      <c r="D20" s="46">
        <v>773.49</v>
      </c>
      <c r="E20" s="46">
        <v>726770.0</v>
      </c>
      <c r="F20" s="46">
        <v>1166503.0</v>
      </c>
      <c r="G20" s="46">
        <v>649901.0</v>
      </c>
      <c r="H20" s="46">
        <v>473617.0</v>
      </c>
      <c r="I20" s="46">
        <v>1981194.0</v>
      </c>
      <c r="J20" s="46">
        <v>324438.0</v>
      </c>
      <c r="K20" s="46">
        <v>438587.0</v>
      </c>
      <c r="L20" s="40"/>
      <c r="M20" s="40"/>
      <c r="N20" s="40"/>
    </row>
    <row r="21" outlineLevel="1">
      <c r="B21" s="16" t="s">
        <v>41</v>
      </c>
      <c r="C21" s="89"/>
      <c r="D21" s="89"/>
      <c r="E21" s="89"/>
      <c r="F21" s="89"/>
      <c r="G21" s="89"/>
      <c r="H21" s="89"/>
      <c r="I21" s="89"/>
      <c r="J21" s="89"/>
      <c r="K21" s="40"/>
      <c r="L21" s="40"/>
      <c r="M21" s="40"/>
      <c r="N21" s="40"/>
    </row>
    <row r="22" outlineLevel="1">
      <c r="A22" s="45"/>
      <c r="B22" s="16" t="s">
        <v>42</v>
      </c>
      <c r="C22" s="35"/>
      <c r="D22" s="35"/>
      <c r="E22" s="35"/>
      <c r="F22" s="35"/>
      <c r="G22" s="35"/>
      <c r="H22" s="35"/>
      <c r="I22" s="35"/>
      <c r="J22" s="35"/>
      <c r="K22" s="35"/>
      <c r="L22" s="39"/>
      <c r="M22" s="39"/>
      <c r="N22" s="39"/>
    </row>
    <row r="23" outlineLevel="1">
      <c r="A23" s="45"/>
      <c r="B23" s="16" t="s">
        <v>45</v>
      </c>
      <c r="C23" s="35"/>
      <c r="D23" s="35"/>
      <c r="E23" s="35"/>
      <c r="F23" s="35"/>
      <c r="G23" s="35"/>
      <c r="H23" s="35"/>
      <c r="I23" s="35"/>
      <c r="J23" s="35"/>
      <c r="K23" s="35"/>
      <c r="L23" s="39"/>
      <c r="M23" s="39"/>
      <c r="N23" s="39"/>
    </row>
    <row r="24" ht="8.25" customHeight="1" outlineLevel="1">
      <c r="A24" s="45"/>
      <c r="B24" s="16"/>
      <c r="C24" s="46"/>
      <c r="D24" s="46">
        <f t="shared" ref="D24:K24" si="2">D20/D19</f>
        <v>193.3725</v>
      </c>
      <c r="E24" s="46">
        <f t="shared" si="2"/>
        <v>181692.5</v>
      </c>
      <c r="F24" s="46">
        <f t="shared" si="2"/>
        <v>291625.75</v>
      </c>
      <c r="G24" s="46">
        <f t="shared" si="2"/>
        <v>162475.25</v>
      </c>
      <c r="H24" s="46">
        <f t="shared" si="2"/>
        <v>118404.25</v>
      </c>
      <c r="I24" s="46">
        <f t="shared" si="2"/>
        <v>495298.5</v>
      </c>
      <c r="J24" s="46">
        <f t="shared" si="2"/>
        <v>81109.5</v>
      </c>
      <c r="K24" s="46">
        <f t="shared" si="2"/>
        <v>109646.75</v>
      </c>
      <c r="L24" s="39"/>
      <c r="M24" s="39"/>
      <c r="N24" s="39"/>
    </row>
    <row r="25" outlineLevel="1">
      <c r="A25" s="45"/>
      <c r="B25" s="47" t="s">
        <v>46</v>
      </c>
      <c r="C25" s="35"/>
      <c r="D25" s="35"/>
      <c r="E25" s="35"/>
      <c r="F25" s="35"/>
      <c r="G25" s="35"/>
      <c r="H25" s="35"/>
      <c r="I25" s="35"/>
      <c r="J25" s="35"/>
      <c r="K25" s="35"/>
      <c r="L25" s="39"/>
      <c r="M25" s="39"/>
      <c r="N25" s="39"/>
    </row>
    <row r="26" outlineLevel="1">
      <c r="A26" s="45"/>
      <c r="B26" s="16" t="s">
        <v>47</v>
      </c>
      <c r="C26" s="35"/>
      <c r="D26" s="35"/>
      <c r="E26" s="35"/>
      <c r="F26" s="35"/>
      <c r="G26" s="35"/>
      <c r="H26" s="35"/>
      <c r="I26" s="35"/>
      <c r="J26" s="35"/>
      <c r="K26" s="35"/>
      <c r="L26" s="39"/>
      <c r="M26" s="39"/>
      <c r="N26" s="39"/>
    </row>
    <row r="27" outlineLevel="1">
      <c r="A27" s="45"/>
      <c r="B27" s="16" t="s">
        <v>48</v>
      </c>
      <c r="C27" s="35"/>
      <c r="D27" s="35"/>
      <c r="E27" s="35"/>
      <c r="F27" s="35"/>
      <c r="G27" s="35"/>
      <c r="H27" s="35"/>
      <c r="I27" s="35"/>
      <c r="J27" s="35"/>
      <c r="K27" s="35"/>
      <c r="L27" s="39"/>
      <c r="M27" s="39"/>
      <c r="N27" s="39"/>
    </row>
    <row r="28" outlineLevel="1">
      <c r="A28" s="45"/>
      <c r="B28" s="16" t="s">
        <v>49</v>
      </c>
      <c r="C28" s="35"/>
      <c r="D28" s="35"/>
      <c r="E28" s="35"/>
      <c r="F28" s="35"/>
      <c r="G28" s="35"/>
      <c r="H28" s="35"/>
      <c r="I28" s="35"/>
      <c r="J28" s="35"/>
      <c r="K28" s="35"/>
      <c r="L28" s="39"/>
      <c r="M28" s="39"/>
      <c r="N28" s="39"/>
    </row>
    <row r="29" outlineLevel="1">
      <c r="A29" s="45"/>
      <c r="B29" s="16" t="s">
        <v>50</v>
      </c>
      <c r="C29" s="35"/>
      <c r="D29" s="35"/>
      <c r="E29" s="35"/>
      <c r="F29" s="35"/>
      <c r="G29" s="35"/>
      <c r="H29" s="35"/>
      <c r="I29" s="35"/>
      <c r="J29" s="35"/>
      <c r="K29" s="35"/>
      <c r="L29" s="39"/>
      <c r="M29" s="39"/>
      <c r="N29" s="39"/>
    </row>
    <row r="30">
      <c r="A30" s="45"/>
      <c r="B30" s="16"/>
      <c r="C30" s="35"/>
      <c r="D30" s="35"/>
      <c r="E30" s="35"/>
      <c r="F30" s="35"/>
      <c r="G30" s="35"/>
      <c r="H30" s="35"/>
      <c r="I30" s="35"/>
      <c r="J30" s="35"/>
      <c r="K30" s="35"/>
      <c r="L30" s="39"/>
      <c r="M30" s="39"/>
      <c r="N30" s="39"/>
    </row>
    <row r="31">
      <c r="A31" s="45"/>
      <c r="B31" s="48" t="s">
        <v>53</v>
      </c>
      <c r="C31" s="43"/>
      <c r="D31" s="43"/>
      <c r="E31" s="43"/>
      <c r="F31" s="43"/>
      <c r="G31" s="43"/>
      <c r="H31" s="43"/>
      <c r="I31" s="43"/>
      <c r="J31" s="43"/>
      <c r="K31" s="43"/>
      <c r="L31" s="44"/>
      <c r="M31" s="44"/>
      <c r="N31" s="44"/>
    </row>
    <row r="32" outlineLevel="1">
      <c r="A32" s="45"/>
      <c r="B32" s="16" t="s">
        <v>39</v>
      </c>
      <c r="C32" s="35">
        <v>5.0</v>
      </c>
      <c r="D32" s="35">
        <v>5.0</v>
      </c>
      <c r="E32" s="35">
        <v>5.0</v>
      </c>
      <c r="F32" s="35">
        <v>5.0</v>
      </c>
      <c r="G32" s="35">
        <v>4.0</v>
      </c>
      <c r="H32" s="35">
        <v>4.0</v>
      </c>
      <c r="I32" s="35">
        <v>4.0</v>
      </c>
      <c r="J32" s="35">
        <v>4.0</v>
      </c>
      <c r="K32" s="35">
        <v>4.0</v>
      </c>
      <c r="L32" s="39"/>
      <c r="M32" s="39"/>
      <c r="N32" s="39"/>
    </row>
    <row r="33" outlineLevel="1">
      <c r="B33" s="16" t="s">
        <v>40</v>
      </c>
      <c r="C33" s="46">
        <f>sum(C74:C77)</f>
        <v>42767</v>
      </c>
      <c r="D33" s="46">
        <v>304.868</v>
      </c>
      <c r="E33" s="46">
        <v>376269.0</v>
      </c>
      <c r="F33" s="46">
        <v>427806.0</v>
      </c>
      <c r="G33" s="46">
        <v>500558.0</v>
      </c>
      <c r="H33" s="46">
        <v>439260.0</v>
      </c>
      <c r="I33" s="46">
        <v>379764.0</v>
      </c>
      <c r="J33" s="46">
        <v>813658.0</v>
      </c>
      <c r="K33" s="46">
        <v>524126.0</v>
      </c>
      <c r="L33" s="40"/>
      <c r="M33" s="40"/>
      <c r="N33" s="40"/>
    </row>
    <row r="34" outlineLevel="1">
      <c r="A34" s="16"/>
      <c r="B34" s="16" t="s">
        <v>41</v>
      </c>
      <c r="C34" s="89"/>
      <c r="D34" s="89"/>
      <c r="E34" s="89"/>
      <c r="F34" s="89"/>
      <c r="G34" s="89"/>
      <c r="H34" s="89"/>
      <c r="I34" s="89"/>
      <c r="J34" s="89"/>
      <c r="K34" s="89"/>
      <c r="L34" s="40"/>
      <c r="M34" s="40"/>
      <c r="N34" s="40"/>
    </row>
    <row r="35" outlineLevel="1">
      <c r="A35" s="45"/>
      <c r="B35" s="16" t="s">
        <v>42</v>
      </c>
      <c r="C35" s="35"/>
      <c r="D35" s="35"/>
      <c r="E35" s="35"/>
      <c r="F35" s="35"/>
      <c r="G35" s="35"/>
      <c r="H35" s="35"/>
      <c r="I35" s="35"/>
      <c r="J35" s="35"/>
      <c r="K35" s="35"/>
      <c r="L35" s="39"/>
      <c r="M35" s="39"/>
      <c r="N35" s="39"/>
    </row>
    <row r="36" outlineLevel="1">
      <c r="A36" s="45"/>
      <c r="B36" s="16" t="s">
        <v>45</v>
      </c>
      <c r="C36" s="35"/>
      <c r="D36" s="35"/>
      <c r="E36" s="35"/>
      <c r="F36" s="35"/>
      <c r="G36" s="35"/>
      <c r="H36" s="35"/>
      <c r="I36" s="35"/>
      <c r="J36" s="35"/>
      <c r="K36" s="35"/>
      <c r="L36" s="39"/>
      <c r="M36" s="39"/>
      <c r="N36" s="39"/>
    </row>
    <row r="37" ht="4.5" customHeight="1" outlineLevel="1">
      <c r="A37" s="45"/>
      <c r="B37" s="16"/>
      <c r="C37" s="46"/>
      <c r="D37" s="46">
        <f t="shared" ref="D37:K37" si="3">D33/D32</f>
        <v>60.9736</v>
      </c>
      <c r="E37" s="46">
        <f t="shared" si="3"/>
        <v>75253.8</v>
      </c>
      <c r="F37" s="46">
        <f t="shared" si="3"/>
        <v>85561.2</v>
      </c>
      <c r="G37" s="46">
        <f t="shared" si="3"/>
        <v>125139.5</v>
      </c>
      <c r="H37" s="46">
        <f t="shared" si="3"/>
        <v>109815</v>
      </c>
      <c r="I37" s="46">
        <f t="shared" si="3"/>
        <v>94941</v>
      </c>
      <c r="J37" s="46">
        <f t="shared" si="3"/>
        <v>203414.5</v>
      </c>
      <c r="K37" s="46">
        <f t="shared" si="3"/>
        <v>131031.5</v>
      </c>
      <c r="L37" s="39"/>
      <c r="M37" s="39"/>
      <c r="N37" s="39"/>
    </row>
    <row r="38" outlineLevel="1">
      <c r="A38" s="45"/>
      <c r="B38" s="47" t="s">
        <v>46</v>
      </c>
      <c r="C38" s="35"/>
      <c r="D38" s="35"/>
      <c r="E38" s="35"/>
      <c r="F38" s="35"/>
      <c r="G38" s="35"/>
      <c r="H38" s="35"/>
      <c r="I38" s="35"/>
      <c r="J38" s="35"/>
      <c r="K38" s="35"/>
      <c r="L38" s="39"/>
      <c r="M38" s="39"/>
      <c r="N38" s="39"/>
    </row>
    <row r="39" outlineLevel="1">
      <c r="A39" s="45"/>
      <c r="B39" s="16" t="s">
        <v>47</v>
      </c>
      <c r="C39" s="35"/>
      <c r="D39" s="35"/>
      <c r="E39" s="35"/>
      <c r="F39" s="35"/>
      <c r="G39" s="35"/>
      <c r="H39" s="35"/>
      <c r="I39" s="35"/>
      <c r="J39" s="35"/>
      <c r="K39" s="35"/>
      <c r="L39" s="39"/>
      <c r="M39" s="39"/>
      <c r="N39" s="39"/>
    </row>
    <row r="40" outlineLevel="1">
      <c r="A40" s="45"/>
      <c r="B40" s="16" t="s">
        <v>48</v>
      </c>
      <c r="C40" s="35"/>
      <c r="D40" s="35"/>
      <c r="E40" s="35"/>
      <c r="F40" s="35"/>
      <c r="G40" s="35"/>
      <c r="H40" s="35"/>
      <c r="I40" s="35"/>
      <c r="J40" s="35"/>
      <c r="K40" s="35"/>
      <c r="L40" s="39"/>
      <c r="M40" s="39"/>
      <c r="N40" s="39"/>
    </row>
    <row r="41" outlineLevel="1">
      <c r="A41" s="45"/>
      <c r="B41" s="16" t="s">
        <v>49</v>
      </c>
      <c r="C41" s="35"/>
      <c r="D41" s="35"/>
      <c r="E41" s="35"/>
      <c r="F41" s="35"/>
      <c r="G41" s="35"/>
      <c r="H41" s="35"/>
      <c r="I41" s="35"/>
      <c r="J41" s="35"/>
      <c r="K41" s="35"/>
      <c r="L41" s="39"/>
      <c r="M41" s="39"/>
      <c r="N41" s="39"/>
    </row>
    <row r="42" outlineLevel="1">
      <c r="A42" s="45"/>
      <c r="B42" s="16" t="s">
        <v>50</v>
      </c>
      <c r="C42" s="35"/>
      <c r="D42" s="35"/>
      <c r="E42" s="35"/>
      <c r="F42" s="35"/>
      <c r="G42" s="35"/>
      <c r="H42" s="35"/>
      <c r="I42" s="35"/>
      <c r="J42" s="35"/>
      <c r="K42" s="35"/>
      <c r="L42" s="39"/>
      <c r="M42" s="39"/>
      <c r="N42" s="39"/>
    </row>
    <row r="43">
      <c r="A43" s="45"/>
      <c r="B43" s="16"/>
      <c r="C43" s="35"/>
      <c r="D43" s="35"/>
      <c r="E43" s="35"/>
      <c r="F43" s="35"/>
      <c r="G43" s="35"/>
      <c r="H43" s="35"/>
      <c r="I43" s="35"/>
      <c r="J43" s="35"/>
      <c r="K43" s="35"/>
      <c r="L43" s="39"/>
      <c r="M43" s="39"/>
      <c r="N43" s="39"/>
    </row>
    <row r="44">
      <c r="A44" s="45"/>
      <c r="B44" s="49" t="s">
        <v>54</v>
      </c>
      <c r="C44" s="35"/>
      <c r="D44" s="35"/>
      <c r="E44" s="35"/>
      <c r="F44" s="35"/>
      <c r="G44" s="35"/>
      <c r="H44" s="35"/>
      <c r="I44" s="35"/>
      <c r="J44" s="35"/>
      <c r="K44" s="35"/>
      <c r="L44" s="39"/>
      <c r="M44" s="39"/>
      <c r="N44" s="39"/>
    </row>
    <row r="45" outlineLevel="1">
      <c r="A45" s="45"/>
      <c r="B45" s="16" t="s">
        <v>39</v>
      </c>
      <c r="C45" s="35">
        <v>1.0</v>
      </c>
      <c r="D45" s="35">
        <v>1.0</v>
      </c>
      <c r="E45" s="35">
        <v>1.0</v>
      </c>
      <c r="F45" s="35">
        <v>1.0</v>
      </c>
      <c r="G45" s="35">
        <v>1.0</v>
      </c>
      <c r="H45" s="35">
        <v>1.0</v>
      </c>
      <c r="I45" s="35">
        <v>1.0</v>
      </c>
      <c r="J45" s="35">
        <v>1.0</v>
      </c>
      <c r="K45" s="35">
        <v>1.0</v>
      </c>
      <c r="L45" s="39"/>
      <c r="M45" s="39"/>
      <c r="N45" s="39"/>
    </row>
    <row r="46" outlineLevel="1">
      <c r="A46" s="16"/>
      <c r="B46" s="16" t="s">
        <v>40</v>
      </c>
      <c r="C46" s="36">
        <v>10592.83</v>
      </c>
      <c r="D46" s="36">
        <v>5098.0</v>
      </c>
      <c r="E46" s="36">
        <v>8841.0</v>
      </c>
      <c r="F46" s="36">
        <v>11190.0</v>
      </c>
      <c r="G46" s="36">
        <v>10844.0</v>
      </c>
      <c r="H46" s="36">
        <v>3811.0</v>
      </c>
      <c r="I46" s="36">
        <v>14360.0</v>
      </c>
      <c r="J46" s="36">
        <v>8123.0</v>
      </c>
      <c r="K46" s="36">
        <v>6414.0</v>
      </c>
      <c r="L46" s="64"/>
      <c r="M46" s="64"/>
      <c r="N46" s="64"/>
    </row>
    <row r="47" outlineLevel="1">
      <c r="B47" s="16" t="s">
        <v>41</v>
      </c>
      <c r="C47" s="36"/>
      <c r="D47" s="36"/>
      <c r="E47" s="36"/>
      <c r="F47" s="36"/>
      <c r="G47" s="36"/>
      <c r="H47" s="36"/>
      <c r="I47" s="36"/>
      <c r="J47" s="36"/>
      <c r="K47" s="36"/>
      <c r="L47" s="64"/>
      <c r="M47" s="64"/>
      <c r="N47" s="64"/>
    </row>
    <row r="48" outlineLevel="1">
      <c r="B48" s="16" t="s">
        <v>42</v>
      </c>
      <c r="C48" s="50"/>
      <c r="D48" s="51"/>
      <c r="E48" s="40"/>
      <c r="F48" s="40"/>
      <c r="G48" s="40"/>
      <c r="H48" s="40"/>
      <c r="I48" s="40"/>
      <c r="J48" s="40"/>
      <c r="K48" s="40"/>
      <c r="L48" s="40"/>
      <c r="M48" s="40"/>
      <c r="N48" s="40"/>
    </row>
    <row r="49" outlineLevel="1">
      <c r="B49" s="16" t="s">
        <v>45</v>
      </c>
      <c r="C49" s="50"/>
      <c r="D49" s="51"/>
      <c r="E49" s="40"/>
      <c r="F49" s="40"/>
      <c r="G49" s="40"/>
      <c r="H49" s="40"/>
      <c r="I49" s="40"/>
      <c r="J49" s="40"/>
      <c r="K49" s="40"/>
      <c r="L49" s="40"/>
      <c r="M49" s="40"/>
      <c r="N49" s="40"/>
    </row>
    <row r="50" outlineLevel="1">
      <c r="B50" s="16"/>
      <c r="C50" s="36"/>
      <c r="D50" s="36">
        <f t="shared" ref="D50:K50" si="4">D46/D45</f>
        <v>5098</v>
      </c>
      <c r="E50" s="36">
        <f t="shared" si="4"/>
        <v>8841</v>
      </c>
      <c r="F50" s="36">
        <f t="shared" si="4"/>
        <v>11190</v>
      </c>
      <c r="G50" s="36">
        <f t="shared" si="4"/>
        <v>10844</v>
      </c>
      <c r="H50" s="36">
        <f t="shared" si="4"/>
        <v>3811</v>
      </c>
      <c r="I50" s="36">
        <f t="shared" si="4"/>
        <v>14360</v>
      </c>
      <c r="J50" s="36">
        <f t="shared" si="4"/>
        <v>8123</v>
      </c>
      <c r="K50" s="36">
        <f t="shared" si="4"/>
        <v>6414</v>
      </c>
      <c r="L50" s="40"/>
      <c r="M50" s="40"/>
      <c r="N50" s="40"/>
    </row>
    <row r="51" outlineLevel="1">
      <c r="B51" s="47" t="s">
        <v>46</v>
      </c>
      <c r="C51" s="50"/>
      <c r="D51" s="51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outlineLevel="1">
      <c r="B52" s="16" t="s">
        <v>47</v>
      </c>
      <c r="C52" s="50"/>
      <c r="D52" s="51"/>
      <c r="E52" s="40"/>
      <c r="F52" s="40"/>
      <c r="G52" s="40"/>
      <c r="H52" s="40"/>
      <c r="I52" s="40"/>
      <c r="J52" s="40"/>
      <c r="K52" s="40"/>
      <c r="L52" s="40"/>
      <c r="M52" s="40"/>
      <c r="N52" s="40"/>
    </row>
    <row r="53" outlineLevel="1">
      <c r="B53" s="16" t="s">
        <v>48</v>
      </c>
      <c r="C53" s="50"/>
      <c r="D53" s="51"/>
      <c r="E53" s="40"/>
      <c r="F53" s="40"/>
      <c r="G53" s="40"/>
      <c r="H53" s="40"/>
      <c r="I53" s="40"/>
      <c r="J53" s="40"/>
      <c r="K53" s="40"/>
      <c r="L53" s="40"/>
      <c r="M53" s="40"/>
      <c r="N53" s="40"/>
    </row>
    <row r="54" outlineLevel="1">
      <c r="B54" s="16" t="s">
        <v>49</v>
      </c>
      <c r="C54" s="50"/>
      <c r="D54" s="51"/>
      <c r="E54" s="40"/>
      <c r="F54" s="40"/>
      <c r="G54" s="40"/>
      <c r="H54" s="40"/>
      <c r="I54" s="40"/>
      <c r="J54" s="40"/>
      <c r="K54" s="40"/>
      <c r="L54" s="40"/>
      <c r="M54" s="40"/>
      <c r="N54" s="40"/>
    </row>
    <row r="55" outlineLevel="1">
      <c r="B55" s="16" t="s">
        <v>50</v>
      </c>
      <c r="C55" s="50"/>
      <c r="D55" s="51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ht="9.75" customHeight="1">
      <c r="C56" s="53"/>
      <c r="D56" s="51"/>
      <c r="E56" s="40"/>
      <c r="F56" s="40"/>
      <c r="G56" s="40"/>
      <c r="H56" s="40"/>
      <c r="I56" s="40"/>
      <c r="J56" s="40"/>
      <c r="K56" s="40"/>
      <c r="L56" s="40"/>
      <c r="M56" s="40"/>
      <c r="N56" s="40"/>
    </row>
    <row r="57">
      <c r="B57" s="15"/>
      <c r="L57" s="40"/>
      <c r="M57" s="40"/>
      <c r="N57" s="40"/>
    </row>
    <row r="58">
      <c r="A58" s="30" t="s">
        <v>56</v>
      </c>
      <c r="B58" s="31" t="s">
        <v>38</v>
      </c>
      <c r="C58" s="35"/>
      <c r="D58" s="35"/>
      <c r="E58" s="35"/>
      <c r="F58" s="35"/>
      <c r="G58" s="35"/>
      <c r="H58" s="35"/>
      <c r="I58" s="35"/>
      <c r="J58" s="35"/>
      <c r="K58" s="35"/>
      <c r="L58" s="40"/>
      <c r="M58" s="40"/>
      <c r="N58" s="40"/>
    </row>
    <row r="59" outlineLevel="1">
      <c r="A59" s="15"/>
      <c r="B59" s="16" t="s">
        <v>57</v>
      </c>
      <c r="C59" s="46">
        <v>275998.0</v>
      </c>
      <c r="D59" s="35">
        <v>347871.0</v>
      </c>
      <c r="E59" s="35"/>
      <c r="F59" s="35"/>
      <c r="G59" s="35"/>
      <c r="H59" s="35"/>
      <c r="I59" s="35"/>
      <c r="J59" s="35"/>
      <c r="K59" s="35"/>
      <c r="L59" s="39"/>
      <c r="M59" s="39"/>
      <c r="N59" s="40"/>
    </row>
    <row r="60" outlineLevel="1">
      <c r="A60" s="15"/>
      <c r="B60" s="16" t="s">
        <v>58</v>
      </c>
      <c r="C60" s="46">
        <v>522966.0</v>
      </c>
      <c r="D60" s="35">
        <v>304624.0</v>
      </c>
      <c r="E60" s="35"/>
      <c r="F60" s="35"/>
      <c r="G60" s="35"/>
      <c r="H60" s="35"/>
      <c r="I60" s="35"/>
      <c r="J60" s="35"/>
      <c r="K60" s="35"/>
      <c r="L60" s="39"/>
      <c r="M60" s="39"/>
      <c r="N60" s="40"/>
    </row>
    <row r="61" outlineLevel="1">
      <c r="A61" s="15"/>
      <c r="B61" s="16" t="s">
        <v>59</v>
      </c>
      <c r="C61" s="46">
        <v>60320.0</v>
      </c>
      <c r="D61" s="35">
        <v>357261.0</v>
      </c>
      <c r="E61" s="35"/>
      <c r="F61" s="35"/>
      <c r="G61" s="35"/>
      <c r="H61" s="35"/>
      <c r="I61" s="35"/>
      <c r="J61" s="35"/>
      <c r="K61" s="35"/>
      <c r="L61" s="39"/>
      <c r="M61" s="39"/>
      <c r="N61" s="40"/>
    </row>
    <row r="62" outlineLevel="1">
      <c r="A62" s="15"/>
      <c r="B62" s="16" t="s">
        <v>60</v>
      </c>
      <c r="C62" s="46">
        <v>136212.0</v>
      </c>
      <c r="D62" s="35">
        <v>96341.0</v>
      </c>
      <c r="E62" s="35"/>
      <c r="F62" s="35"/>
      <c r="G62" s="35"/>
      <c r="H62" s="35"/>
      <c r="I62" s="35"/>
      <c r="J62" s="35"/>
      <c r="K62" s="35"/>
      <c r="L62" s="39"/>
      <c r="M62" s="39"/>
      <c r="N62" s="40"/>
    </row>
    <row r="63" outlineLevel="1">
      <c r="A63" s="15"/>
      <c r="B63" s="16" t="s">
        <v>61</v>
      </c>
      <c r="C63" s="46">
        <v>138021.0</v>
      </c>
      <c r="D63" s="35">
        <v>84133.0</v>
      </c>
      <c r="E63" s="35"/>
      <c r="F63" s="35"/>
      <c r="G63" s="35"/>
      <c r="H63" s="35"/>
      <c r="I63" s="35"/>
      <c r="J63" s="35"/>
      <c r="K63" s="35"/>
      <c r="L63" s="39"/>
      <c r="M63" s="39"/>
      <c r="N63" s="40"/>
    </row>
    <row r="64" outlineLevel="1">
      <c r="A64" s="15"/>
      <c r="B64" s="16" t="s">
        <v>62</v>
      </c>
      <c r="C64" s="46">
        <v>311631.0</v>
      </c>
      <c r="D64" s="35">
        <v>322382.0</v>
      </c>
      <c r="E64" s="35"/>
      <c r="F64" s="35"/>
      <c r="G64" s="35"/>
      <c r="H64" s="35"/>
      <c r="I64" s="35"/>
      <c r="J64" s="35"/>
      <c r="K64" s="35"/>
      <c r="L64" s="39"/>
      <c r="M64" s="39"/>
      <c r="N64" s="40"/>
    </row>
    <row r="65" outlineLevel="1">
      <c r="A65" s="15"/>
      <c r="B65" s="16" t="s">
        <v>63</v>
      </c>
      <c r="C65" s="46">
        <v>118.0</v>
      </c>
      <c r="D65" s="35"/>
      <c r="E65" s="35"/>
      <c r="F65" s="35"/>
      <c r="G65" s="35"/>
      <c r="H65" s="35"/>
      <c r="I65" s="35"/>
      <c r="J65" s="35"/>
      <c r="K65" s="35"/>
      <c r="L65" s="39"/>
      <c r="M65" s="39"/>
      <c r="N65" s="40"/>
    </row>
    <row r="66">
      <c r="A66" s="15"/>
      <c r="B66" s="15"/>
      <c r="C66" s="35"/>
      <c r="D66" s="35"/>
      <c r="E66" s="35"/>
      <c r="F66" s="35"/>
      <c r="G66" s="35"/>
      <c r="H66" s="35"/>
      <c r="I66" s="35"/>
      <c r="J66" s="35"/>
      <c r="K66" s="35"/>
      <c r="L66" s="39"/>
      <c r="M66" s="39"/>
      <c r="N66" s="40"/>
    </row>
    <row r="67">
      <c r="B67" s="42" t="s">
        <v>66</v>
      </c>
      <c r="C67" s="46"/>
      <c r="D67" s="46"/>
      <c r="E67" s="46"/>
      <c r="F67" s="46"/>
      <c r="G67" s="46"/>
      <c r="H67" s="46"/>
      <c r="I67" s="46"/>
      <c r="J67" s="46"/>
      <c r="K67" s="46"/>
      <c r="L67" s="40"/>
      <c r="M67" s="40"/>
      <c r="N67" s="40"/>
    </row>
    <row r="68" outlineLevel="1">
      <c r="B68" s="16" t="s">
        <v>67</v>
      </c>
      <c r="C68" s="46">
        <v>341978.0</v>
      </c>
      <c r="D68" s="51"/>
      <c r="E68" s="40"/>
      <c r="F68" s="40"/>
      <c r="G68" s="40"/>
      <c r="H68" s="40"/>
      <c r="I68" s="40"/>
      <c r="J68" s="40"/>
      <c r="K68" s="40"/>
      <c r="L68" s="40"/>
      <c r="M68" s="40"/>
      <c r="N68" s="40"/>
    </row>
    <row r="69" outlineLevel="1">
      <c r="B69" s="16" t="s">
        <v>68</v>
      </c>
      <c r="C69" s="46">
        <v>1058109.0</v>
      </c>
      <c r="D69" s="51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outlineLevel="1">
      <c r="B70" s="16" t="s">
        <v>69</v>
      </c>
      <c r="C70" s="46">
        <v>59188.0</v>
      </c>
      <c r="D70" s="51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outlineLevel="1">
      <c r="B71" s="16" t="s">
        <v>70</v>
      </c>
      <c r="C71" s="46">
        <v>0.0</v>
      </c>
      <c r="D71" s="51"/>
      <c r="E71" s="40"/>
      <c r="F71" s="40"/>
      <c r="G71" s="40"/>
      <c r="H71" s="40"/>
      <c r="I71" s="40"/>
      <c r="J71" s="40"/>
      <c r="K71" s="40"/>
      <c r="L71" s="40"/>
      <c r="M71" s="40"/>
      <c r="N71" s="40"/>
    </row>
    <row r="72">
      <c r="B72" s="16"/>
      <c r="C72" s="46"/>
      <c r="D72" s="46"/>
      <c r="E72" s="46"/>
      <c r="F72" s="46"/>
      <c r="G72" s="46"/>
      <c r="H72" s="46"/>
      <c r="I72" s="46"/>
      <c r="J72" s="46"/>
      <c r="K72" s="46"/>
      <c r="L72" s="40"/>
      <c r="M72" s="40"/>
      <c r="N72" s="40"/>
    </row>
    <row r="73">
      <c r="B73" s="48" t="s">
        <v>53</v>
      </c>
      <c r="C73" s="46"/>
      <c r="D73" s="46"/>
      <c r="E73" s="46"/>
      <c r="F73" s="46"/>
      <c r="G73" s="46"/>
      <c r="H73" s="46"/>
      <c r="I73" s="46"/>
      <c r="J73" s="46"/>
      <c r="K73" s="46"/>
      <c r="L73" s="40"/>
      <c r="M73" s="40"/>
      <c r="N73" s="40"/>
    </row>
    <row r="74" outlineLevel="1">
      <c r="A74" s="65"/>
      <c r="B74" s="66" t="s">
        <v>71</v>
      </c>
      <c r="C74" s="46">
        <v>0.0</v>
      </c>
      <c r="D74" s="35"/>
      <c r="E74" s="35"/>
      <c r="F74" s="35"/>
      <c r="G74" s="35"/>
      <c r="H74" s="35"/>
      <c r="I74" s="35"/>
      <c r="J74" s="35"/>
      <c r="K74" s="35"/>
      <c r="L74" s="39"/>
      <c r="M74" s="39"/>
      <c r="N74" s="39"/>
    </row>
    <row r="75" outlineLevel="1">
      <c r="A75" s="65"/>
      <c r="B75" s="66" t="s">
        <v>72</v>
      </c>
      <c r="C75" s="46">
        <v>0.0</v>
      </c>
      <c r="D75" s="35"/>
      <c r="E75" s="35"/>
      <c r="F75" s="35"/>
      <c r="G75" s="35"/>
      <c r="H75" s="35"/>
      <c r="I75" s="35"/>
      <c r="J75" s="35"/>
      <c r="K75" s="35"/>
      <c r="L75" s="39"/>
      <c r="M75" s="39"/>
      <c r="N75" s="39"/>
    </row>
    <row r="76" outlineLevel="1">
      <c r="A76" s="65"/>
      <c r="B76" s="66" t="s">
        <v>73</v>
      </c>
      <c r="C76" s="46">
        <v>22934.0</v>
      </c>
      <c r="D76" s="35"/>
      <c r="E76" s="35"/>
      <c r="F76" s="35"/>
      <c r="G76" s="35"/>
      <c r="H76" s="35"/>
      <c r="I76" s="35"/>
      <c r="J76" s="35"/>
      <c r="K76" s="35"/>
      <c r="L76" s="39"/>
      <c r="M76" s="39"/>
      <c r="N76" s="39"/>
    </row>
    <row r="77" outlineLevel="1">
      <c r="A77" s="65"/>
      <c r="B77" s="66" t="s">
        <v>74</v>
      </c>
      <c r="C77" s="46">
        <v>19833.0</v>
      </c>
      <c r="D77" s="35"/>
      <c r="E77" s="35"/>
      <c r="F77" s="35"/>
      <c r="G77" s="35"/>
      <c r="H77" s="35"/>
      <c r="I77" s="35"/>
      <c r="J77" s="35"/>
      <c r="K77" s="35"/>
      <c r="L77" s="39"/>
      <c r="M77" s="39"/>
      <c r="N77" s="39"/>
    </row>
    <row r="78" outlineLevel="1">
      <c r="A78" s="65"/>
      <c r="B78" s="45"/>
      <c r="C78" s="35"/>
      <c r="D78" s="35"/>
      <c r="E78" s="35"/>
      <c r="F78" s="35"/>
      <c r="G78" s="35"/>
      <c r="H78" s="35"/>
      <c r="I78" s="35"/>
      <c r="J78" s="35"/>
      <c r="K78" s="35"/>
      <c r="L78" s="39"/>
      <c r="M78" s="39"/>
      <c r="N78" s="39"/>
    </row>
    <row r="79">
      <c r="B79" s="16"/>
      <c r="C79" s="46"/>
      <c r="D79" s="46"/>
      <c r="E79" s="46"/>
      <c r="F79" s="46"/>
      <c r="G79" s="46"/>
      <c r="H79" s="46"/>
      <c r="I79" s="46"/>
      <c r="J79" s="46"/>
      <c r="K79" s="46"/>
      <c r="L79" s="40"/>
      <c r="M79" s="40"/>
      <c r="N79" s="40"/>
    </row>
    <row r="80">
      <c r="B80" s="49" t="s">
        <v>54</v>
      </c>
      <c r="C80" s="46"/>
      <c r="D80" s="46"/>
      <c r="E80" s="46"/>
      <c r="F80" s="46"/>
      <c r="G80" s="46"/>
      <c r="H80" s="46"/>
      <c r="I80" s="46"/>
      <c r="J80" s="46"/>
      <c r="K80" s="46"/>
      <c r="L80" s="40"/>
      <c r="M80" s="40"/>
      <c r="N80" s="40"/>
    </row>
    <row r="81">
      <c r="B81" s="12" t="s">
        <v>60</v>
      </c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</row>
    <row r="82">
      <c r="A82" s="68"/>
      <c r="B82" s="68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</row>
    <row r="83">
      <c r="A83" s="30" t="s">
        <v>75</v>
      </c>
      <c r="B83" s="31" t="s">
        <v>83</v>
      </c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</row>
    <row r="84" outlineLevel="1">
      <c r="A84" s="68"/>
      <c r="B84" s="16" t="s">
        <v>57</v>
      </c>
      <c r="C84" s="35">
        <v>5.0</v>
      </c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outlineLevel="1">
      <c r="A85" s="68"/>
      <c r="B85" s="16" t="s">
        <v>58</v>
      </c>
      <c r="C85" s="35">
        <v>20.0</v>
      </c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</row>
    <row r="86" outlineLevel="1">
      <c r="A86" s="68"/>
      <c r="B86" s="16" t="s">
        <v>59</v>
      </c>
      <c r="C86" s="35">
        <v>3.0</v>
      </c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</row>
    <row r="87" outlineLevel="1">
      <c r="A87" s="68"/>
      <c r="B87" s="16" t="s">
        <v>60</v>
      </c>
      <c r="C87" s="35">
        <v>9.0</v>
      </c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</row>
    <row r="88" outlineLevel="1">
      <c r="A88" s="68"/>
      <c r="B88" s="16" t="s">
        <v>61</v>
      </c>
      <c r="C88" s="35">
        <v>6.0</v>
      </c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</row>
    <row r="89" outlineLevel="1">
      <c r="A89" s="68"/>
      <c r="B89" s="16" t="s">
        <v>62</v>
      </c>
      <c r="C89" s="35">
        <v>11.0</v>
      </c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</row>
    <row r="90" outlineLevel="1">
      <c r="A90" s="68"/>
      <c r="B90" s="16" t="s">
        <v>63</v>
      </c>
      <c r="C90" s="35">
        <v>1.0</v>
      </c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</row>
    <row r="91">
      <c r="A91" s="68"/>
      <c r="B91" s="15"/>
      <c r="C91" s="35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</row>
    <row r="92">
      <c r="A92" s="68"/>
      <c r="B92" s="42" t="s">
        <v>66</v>
      </c>
      <c r="C92" s="35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</row>
    <row r="93" outlineLevel="1">
      <c r="A93" s="68"/>
      <c r="B93" s="16" t="s">
        <v>67</v>
      </c>
      <c r="C93" s="35">
        <v>5.0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</row>
    <row r="94" outlineLevel="1">
      <c r="A94" s="68"/>
      <c r="B94" s="16" t="s">
        <v>68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</row>
    <row r="95" outlineLevel="1">
      <c r="A95" s="68"/>
      <c r="B95" s="16" t="s">
        <v>69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</row>
    <row r="96" outlineLevel="1">
      <c r="A96" s="68"/>
      <c r="B96" s="16" t="s">
        <v>70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</row>
    <row r="97">
      <c r="A97" s="68"/>
      <c r="B97" s="16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</row>
    <row r="98">
      <c r="A98" s="68"/>
      <c r="B98" s="48" t="s">
        <v>53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</row>
    <row r="99" outlineLevel="1">
      <c r="A99" s="68"/>
      <c r="B99" s="66" t="s">
        <v>71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</row>
    <row r="100" outlineLevel="1">
      <c r="A100" s="68"/>
      <c r="B100" s="66" t="s">
        <v>72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</row>
    <row r="101" outlineLevel="1">
      <c r="A101" s="68"/>
      <c r="B101" s="66" t="s">
        <v>73</v>
      </c>
      <c r="C101" s="35">
        <v>6.0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</row>
    <row r="102" outlineLevel="1">
      <c r="A102" s="68"/>
      <c r="B102" s="66" t="s">
        <v>74</v>
      </c>
      <c r="C102" s="35">
        <v>8.0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</row>
    <row r="103">
      <c r="A103" s="68"/>
      <c r="B103" s="4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</row>
    <row r="104">
      <c r="A104" s="68"/>
      <c r="B104" s="49" t="s">
        <v>54</v>
      </c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>
      <c r="A105" s="68"/>
      <c r="B105" s="12" t="s">
        <v>60</v>
      </c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</row>
    <row r="106">
      <c r="A106" s="68"/>
      <c r="B106" s="68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</row>
    <row r="107" collapsed="1">
      <c r="A107" s="30" t="s">
        <v>94</v>
      </c>
      <c r="B107" s="31" t="s">
        <v>83</v>
      </c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</row>
    <row r="108" hidden="1" outlineLevel="1">
      <c r="A108" s="68"/>
      <c r="B108" s="16" t="s">
        <v>57</v>
      </c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</row>
    <row r="109" hidden="1" outlineLevel="1">
      <c r="A109" s="66" t="s">
        <v>79</v>
      </c>
      <c r="B109" s="16"/>
      <c r="C109" s="46">
        <v>125389.0</v>
      </c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</row>
    <row r="110" hidden="1" outlineLevel="1">
      <c r="A110" s="66" t="s">
        <v>80</v>
      </c>
      <c r="B110" s="16"/>
      <c r="C110" s="46">
        <v>112167.0</v>
      </c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</row>
    <row r="111" hidden="1" outlineLevel="1">
      <c r="A111" s="66"/>
      <c r="B111" s="16" t="s">
        <v>58</v>
      </c>
      <c r="C111" s="46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</row>
    <row r="112" hidden="1" outlineLevel="1">
      <c r="A112" s="66" t="s">
        <v>79</v>
      </c>
      <c r="B112" s="16"/>
      <c r="C112" s="46">
        <v>122857.0</v>
      </c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</row>
    <row r="113" hidden="1" outlineLevel="1">
      <c r="A113" s="66" t="s">
        <v>80</v>
      </c>
      <c r="B113" s="16"/>
      <c r="C113" s="46">
        <v>399851.0</v>
      </c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</row>
    <row r="114" hidden="1" outlineLevel="1">
      <c r="A114" s="66"/>
      <c r="B114" s="16" t="s">
        <v>59</v>
      </c>
      <c r="C114" s="46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</row>
    <row r="115" hidden="1" outlineLevel="1">
      <c r="A115" s="66" t="s">
        <v>79</v>
      </c>
      <c r="B115" s="16"/>
      <c r="C115" s="46">
        <v>44392.0</v>
      </c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</row>
    <row r="116" hidden="1" outlineLevel="1">
      <c r="A116" s="66" t="s">
        <v>80</v>
      </c>
      <c r="B116" s="16"/>
      <c r="C116" s="46">
        <v>15928.0</v>
      </c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</row>
    <row r="117" hidden="1" outlineLevel="1">
      <c r="A117" s="66"/>
      <c r="B117" s="16" t="s">
        <v>60</v>
      </c>
      <c r="C117" s="46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</row>
    <row r="118" hidden="1" outlineLevel="1">
      <c r="A118" s="66" t="s">
        <v>79</v>
      </c>
      <c r="B118" s="16"/>
      <c r="C118" s="46">
        <v>45006.0</v>
      </c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</row>
    <row r="119" hidden="1" outlineLevel="1">
      <c r="A119" s="66" t="s">
        <v>80</v>
      </c>
      <c r="B119" s="16"/>
      <c r="C119" s="46">
        <v>91207.0</v>
      </c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</row>
    <row r="120" hidden="1" outlineLevel="1">
      <c r="A120" s="66"/>
      <c r="B120" s="16" t="s">
        <v>61</v>
      </c>
      <c r="C120" s="46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</row>
    <row r="121" hidden="1" outlineLevel="1">
      <c r="A121" s="66" t="s">
        <v>79</v>
      </c>
      <c r="B121" s="16"/>
      <c r="C121" s="46">
        <v>132204.0</v>
      </c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</row>
    <row r="122" hidden="1" outlineLevel="1">
      <c r="A122" s="66" t="s">
        <v>80</v>
      </c>
      <c r="B122" s="16"/>
      <c r="C122" s="46">
        <v>12732.0</v>
      </c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</row>
    <row r="123" hidden="1" outlineLevel="1">
      <c r="A123" s="66"/>
      <c r="B123" s="16" t="s">
        <v>62</v>
      </c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</row>
    <row r="124" hidden="1" outlineLevel="1">
      <c r="A124" s="66" t="s">
        <v>79</v>
      </c>
      <c r="B124" s="16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</row>
    <row r="125" hidden="1" outlineLevel="1">
      <c r="A125" s="66" t="s">
        <v>80</v>
      </c>
      <c r="B125" s="16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</row>
    <row r="126" hidden="1" outlineLevel="1">
      <c r="A126" s="66"/>
      <c r="B126" s="16" t="s">
        <v>63</v>
      </c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</row>
    <row r="127" hidden="1" outlineLevel="1">
      <c r="A127" s="66" t="s">
        <v>79</v>
      </c>
      <c r="B127" s="15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</row>
    <row r="128" hidden="1" outlineLevel="1">
      <c r="A128" s="66" t="s">
        <v>80</v>
      </c>
      <c r="B128" s="15"/>
      <c r="C128" s="62">
        <v>118.0</v>
      </c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</row>
    <row r="129" collapsed="1">
      <c r="A129" s="66"/>
      <c r="B129" s="42" t="s">
        <v>66</v>
      </c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</row>
    <row r="130" hidden="1" outlineLevel="1">
      <c r="A130" s="66"/>
      <c r="B130" s="16" t="s">
        <v>67</v>
      </c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</row>
    <row r="131" hidden="1" outlineLevel="1">
      <c r="A131" s="66" t="s">
        <v>79</v>
      </c>
      <c r="B131" s="16"/>
      <c r="C131" s="62">
        <v>5115.0</v>
      </c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</row>
    <row r="132" hidden="1" outlineLevel="1">
      <c r="A132" s="66" t="s">
        <v>80</v>
      </c>
      <c r="B132" s="16"/>
      <c r="C132" s="62">
        <v>336863.0</v>
      </c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</row>
    <row r="133" hidden="1" outlineLevel="1">
      <c r="A133" s="66"/>
      <c r="B133" s="16" t="s">
        <v>68</v>
      </c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</row>
    <row r="134" hidden="1" outlineLevel="1">
      <c r="A134" s="66" t="s">
        <v>79</v>
      </c>
      <c r="B134" s="16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</row>
    <row r="135" hidden="1" outlineLevel="1">
      <c r="A135" s="66" t="s">
        <v>80</v>
      </c>
      <c r="B135" s="16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</row>
    <row r="136" hidden="1" outlineLevel="1">
      <c r="A136" s="66"/>
      <c r="B136" s="16" t="s">
        <v>69</v>
      </c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</row>
    <row r="137" hidden="1" outlineLevel="1">
      <c r="A137" s="66" t="s">
        <v>79</v>
      </c>
      <c r="B137" s="16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</row>
    <row r="138" hidden="1" outlineLevel="1">
      <c r="A138" s="66" t="s">
        <v>80</v>
      </c>
      <c r="B138" s="16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</row>
    <row r="139" hidden="1" outlineLevel="1">
      <c r="A139" s="66"/>
      <c r="B139" s="16" t="s">
        <v>70</v>
      </c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</row>
    <row r="140" hidden="1" outlineLevel="1">
      <c r="A140" s="66" t="s">
        <v>79</v>
      </c>
      <c r="B140" s="16"/>
      <c r="C140" s="62">
        <v>0.0</v>
      </c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</row>
    <row r="141" hidden="1" outlineLevel="1">
      <c r="A141" s="66" t="s">
        <v>80</v>
      </c>
      <c r="B141" s="16"/>
      <c r="C141" s="62">
        <v>0.0</v>
      </c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</row>
    <row r="142" collapsed="1">
      <c r="A142" s="66"/>
      <c r="B142" s="48" t="s">
        <v>53</v>
      </c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</row>
    <row r="143" hidden="1" outlineLevel="1">
      <c r="A143" s="66"/>
      <c r="B143" s="66" t="s">
        <v>71</v>
      </c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</row>
    <row r="144" hidden="1" outlineLevel="1">
      <c r="A144" s="66" t="s">
        <v>79</v>
      </c>
      <c r="B144" s="66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</row>
    <row r="145" hidden="1" outlineLevel="1">
      <c r="A145" s="66" t="s">
        <v>80</v>
      </c>
      <c r="B145" s="66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</row>
    <row r="146" hidden="1" outlineLevel="1">
      <c r="A146" s="66"/>
      <c r="B146" s="66" t="s">
        <v>72</v>
      </c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</row>
    <row r="147" hidden="1" outlineLevel="1">
      <c r="A147" s="66" t="s">
        <v>79</v>
      </c>
      <c r="B147" s="66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</row>
    <row r="148" hidden="1" outlineLevel="1">
      <c r="A148" s="66" t="s">
        <v>80</v>
      </c>
      <c r="B148" s="66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</row>
    <row r="149" hidden="1" outlineLevel="1">
      <c r="A149" s="66"/>
      <c r="B149" s="66" t="s">
        <v>73</v>
      </c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</row>
    <row r="150" hidden="1" outlineLevel="1">
      <c r="A150" s="66" t="s">
        <v>79</v>
      </c>
      <c r="B150" s="66"/>
      <c r="C150" s="62">
        <v>12854.0</v>
      </c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</row>
    <row r="151" hidden="1" outlineLevel="1">
      <c r="A151" s="66" t="s">
        <v>80</v>
      </c>
      <c r="B151" s="66"/>
      <c r="C151" s="62">
        <v>10080.0</v>
      </c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</row>
    <row r="152" hidden="1" outlineLevel="1">
      <c r="A152" s="66"/>
      <c r="B152" s="66" t="s">
        <v>74</v>
      </c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</row>
    <row r="153" hidden="1" outlineLevel="1">
      <c r="A153" s="66" t="s">
        <v>79</v>
      </c>
      <c r="B153" s="45"/>
      <c r="C153" s="62">
        <v>1160.0</v>
      </c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</row>
    <row r="154" hidden="1" outlineLevel="1">
      <c r="A154" s="66" t="s">
        <v>80</v>
      </c>
      <c r="B154" s="16"/>
      <c r="C154" s="62">
        <v>18673.0</v>
      </c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</row>
    <row r="155">
      <c r="A155" s="68"/>
      <c r="B155" s="49" t="s">
        <v>54</v>
      </c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</row>
    <row r="156">
      <c r="A156" s="68"/>
      <c r="B156" s="12" t="s">
        <v>60</v>
      </c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</row>
    <row r="157">
      <c r="A157" s="66" t="s">
        <v>79</v>
      </c>
      <c r="B157" s="68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</row>
    <row r="158">
      <c r="A158" s="66" t="s">
        <v>80</v>
      </c>
      <c r="B158" s="68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</row>
    <row r="159" hidden="1">
      <c r="A159" s="90" t="s">
        <v>95</v>
      </c>
      <c r="B159" s="31" t="s">
        <v>83</v>
      </c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</row>
    <row r="160" hidden="1" outlineLevel="1">
      <c r="A160" s="68"/>
      <c r="B160" s="16" t="s">
        <v>57</v>
      </c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</row>
    <row r="161" hidden="1" outlineLevel="1">
      <c r="A161" s="66" t="s">
        <v>79</v>
      </c>
      <c r="B161" s="16"/>
      <c r="C161" s="35">
        <v>4.0</v>
      </c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</row>
    <row r="162" hidden="1" outlineLevel="1">
      <c r="A162" s="66" t="s">
        <v>80</v>
      </c>
      <c r="B162" s="16"/>
      <c r="C162" s="35">
        <v>1.0</v>
      </c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</row>
    <row r="163" hidden="1" outlineLevel="1">
      <c r="A163" s="66"/>
      <c r="B163" s="16" t="s">
        <v>58</v>
      </c>
      <c r="C163" s="35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</row>
    <row r="164" hidden="1" outlineLevel="1">
      <c r="A164" s="66" t="s">
        <v>79</v>
      </c>
      <c r="B164" s="16"/>
      <c r="C164" s="35">
        <v>7.0</v>
      </c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</row>
    <row r="165" hidden="1" outlineLevel="1">
      <c r="A165" s="66" t="s">
        <v>80</v>
      </c>
      <c r="B165" s="16"/>
      <c r="C165" s="35">
        <v>13.0</v>
      </c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</row>
    <row r="166" hidden="1" outlineLevel="1">
      <c r="A166" s="66"/>
      <c r="B166" s="16" t="s">
        <v>59</v>
      </c>
      <c r="C166" s="35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</row>
    <row r="167" hidden="1" outlineLevel="1">
      <c r="A167" s="66" t="s">
        <v>79</v>
      </c>
      <c r="B167" s="16"/>
      <c r="C167" s="35">
        <v>8.0</v>
      </c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</row>
    <row r="168" hidden="1" outlineLevel="1">
      <c r="A168" s="66" t="s">
        <v>80</v>
      </c>
      <c r="B168" s="16"/>
      <c r="C168" s="35">
        <v>2.0</v>
      </c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</row>
    <row r="169" hidden="1" outlineLevel="1">
      <c r="A169" s="66"/>
      <c r="B169" s="16" t="s">
        <v>60</v>
      </c>
      <c r="C169" s="35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</row>
    <row r="170" hidden="1" outlineLevel="1">
      <c r="A170" s="66" t="s">
        <v>79</v>
      </c>
      <c r="B170" s="16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</row>
    <row r="171" hidden="1" outlineLevel="1">
      <c r="A171" s="66" t="s">
        <v>80</v>
      </c>
      <c r="B171" s="16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</row>
    <row r="172" hidden="1" outlineLevel="1">
      <c r="A172" s="66"/>
      <c r="B172" s="16" t="s">
        <v>61</v>
      </c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</row>
    <row r="173" hidden="1" outlineLevel="1">
      <c r="A173" s="66" t="s">
        <v>79</v>
      </c>
      <c r="B173" s="16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</row>
    <row r="174" hidden="1" outlineLevel="1">
      <c r="A174" s="66" t="s">
        <v>80</v>
      </c>
      <c r="B174" s="16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</row>
    <row r="175" hidden="1" outlineLevel="1">
      <c r="A175" s="66"/>
      <c r="B175" s="16" t="s">
        <v>62</v>
      </c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</row>
    <row r="176" hidden="1" outlineLevel="1">
      <c r="A176" s="66" t="s">
        <v>79</v>
      </c>
      <c r="B176" s="16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</row>
    <row r="177" hidden="1" outlineLevel="1">
      <c r="A177" s="66" t="s">
        <v>80</v>
      </c>
      <c r="B177" s="16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</row>
    <row r="178" hidden="1" outlineLevel="1">
      <c r="A178" s="66"/>
      <c r="B178" s="16" t="s">
        <v>63</v>
      </c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</row>
    <row r="179" hidden="1" outlineLevel="1">
      <c r="A179" s="66" t="s">
        <v>79</v>
      </c>
      <c r="B179" s="15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</row>
    <row r="180" hidden="1" outlineLevel="1">
      <c r="A180" s="66" t="s">
        <v>80</v>
      </c>
      <c r="B180" s="15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</row>
    <row r="181">
      <c r="A181" s="66"/>
      <c r="B181" s="42" t="s">
        <v>66</v>
      </c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</row>
    <row r="182" outlineLevel="1">
      <c r="A182" s="66"/>
      <c r="B182" s="16" t="s">
        <v>67</v>
      </c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</row>
    <row r="183" outlineLevel="1">
      <c r="A183" s="66" t="s">
        <v>79</v>
      </c>
      <c r="B183" s="16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</row>
    <row r="184" outlineLevel="1">
      <c r="A184" s="66" t="s">
        <v>80</v>
      </c>
      <c r="B184" s="16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</row>
    <row r="185" outlineLevel="1">
      <c r="A185" s="66"/>
      <c r="B185" s="16" t="s">
        <v>68</v>
      </c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</row>
    <row r="186" outlineLevel="1">
      <c r="A186" s="66" t="s">
        <v>79</v>
      </c>
      <c r="B186" s="16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</row>
    <row r="187" outlineLevel="1">
      <c r="A187" s="66" t="s">
        <v>80</v>
      </c>
      <c r="B187" s="16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</row>
    <row r="188" outlineLevel="1">
      <c r="A188" s="66"/>
      <c r="B188" s="16" t="s">
        <v>69</v>
      </c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</row>
    <row r="189" outlineLevel="1">
      <c r="A189" s="66" t="s">
        <v>79</v>
      </c>
      <c r="B189" s="16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</row>
    <row r="190" outlineLevel="1">
      <c r="A190" s="66" t="s">
        <v>80</v>
      </c>
      <c r="B190" s="16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</row>
    <row r="191" outlineLevel="1">
      <c r="A191" s="66"/>
      <c r="B191" s="16" t="s">
        <v>70</v>
      </c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</row>
    <row r="192" outlineLevel="1">
      <c r="A192" s="66" t="s">
        <v>79</v>
      </c>
      <c r="B192" s="16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</row>
    <row r="193" outlineLevel="1">
      <c r="A193" s="66" t="s">
        <v>80</v>
      </c>
      <c r="B193" s="16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</row>
    <row r="194" collapsed="1">
      <c r="A194" s="66"/>
      <c r="B194" s="48" t="s">
        <v>53</v>
      </c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</row>
    <row r="195" hidden="1" outlineLevel="1">
      <c r="A195" s="66"/>
      <c r="B195" s="66" t="s">
        <v>71</v>
      </c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</row>
    <row r="196" hidden="1" outlineLevel="1">
      <c r="A196" s="66" t="s">
        <v>79</v>
      </c>
      <c r="B196" s="66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</row>
    <row r="197" hidden="1" outlineLevel="1">
      <c r="A197" s="66" t="s">
        <v>80</v>
      </c>
      <c r="B197" s="66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</row>
    <row r="198" hidden="1" outlineLevel="1">
      <c r="A198" s="66"/>
      <c r="B198" s="66" t="s">
        <v>72</v>
      </c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</row>
    <row r="199" hidden="1" outlineLevel="1">
      <c r="A199" s="66" t="s">
        <v>79</v>
      </c>
      <c r="B199" s="66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</row>
    <row r="200" hidden="1" outlineLevel="1">
      <c r="A200" s="66" t="s">
        <v>80</v>
      </c>
      <c r="B200" s="66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</row>
    <row r="201" hidden="1" outlineLevel="1">
      <c r="A201" s="66"/>
      <c r="B201" s="66" t="s">
        <v>73</v>
      </c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</row>
    <row r="202" hidden="1" outlineLevel="1">
      <c r="A202" s="66" t="s">
        <v>79</v>
      </c>
      <c r="B202" s="66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</row>
    <row r="203" hidden="1" outlineLevel="1">
      <c r="A203" s="66" t="s">
        <v>80</v>
      </c>
      <c r="B203" s="66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</row>
    <row r="204" hidden="1" outlineLevel="1">
      <c r="A204" s="66"/>
      <c r="B204" s="66" t="s">
        <v>74</v>
      </c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</row>
    <row r="205" hidden="1" outlineLevel="1">
      <c r="A205" s="66" t="s">
        <v>79</v>
      </c>
      <c r="B205" s="45"/>
      <c r="C205" s="62">
        <v>2.0</v>
      </c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</row>
    <row r="206" hidden="1" outlineLevel="1">
      <c r="A206" s="66" t="s">
        <v>80</v>
      </c>
      <c r="B206" s="16"/>
      <c r="C206" s="62">
        <v>6.0</v>
      </c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</row>
    <row r="207">
      <c r="A207" s="68"/>
      <c r="B207" s="49" t="s">
        <v>54</v>
      </c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</row>
    <row r="208">
      <c r="A208" s="68"/>
      <c r="B208" s="12" t="s">
        <v>60</v>
      </c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</row>
    <row r="209">
      <c r="A209" s="66" t="s">
        <v>79</v>
      </c>
      <c r="B209" s="68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</row>
    <row r="210">
      <c r="A210" s="66" t="s">
        <v>80</v>
      </c>
      <c r="B210" s="68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</row>
    <row r="211">
      <c r="A211" s="68"/>
      <c r="B211" s="68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</row>
    <row r="212">
      <c r="A212" s="30" t="s">
        <v>96</v>
      </c>
      <c r="B212" s="31" t="s">
        <v>83</v>
      </c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</row>
    <row r="213" collapsed="1">
      <c r="A213" s="68"/>
      <c r="B213" s="16" t="s">
        <v>57</v>
      </c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</row>
    <row r="214" hidden="1" outlineLevel="1">
      <c r="A214" s="66" t="s">
        <v>48</v>
      </c>
      <c r="B214" s="16"/>
      <c r="C214" s="35">
        <v>1.0</v>
      </c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</row>
    <row r="215" hidden="1" outlineLevel="1">
      <c r="A215" s="66" t="s">
        <v>47</v>
      </c>
      <c r="B215" s="16"/>
      <c r="C215" s="35">
        <v>4.0</v>
      </c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</row>
    <row r="216" hidden="1" outlineLevel="1">
      <c r="A216" s="66"/>
      <c r="B216" s="16" t="s">
        <v>58</v>
      </c>
      <c r="C216" s="35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</row>
    <row r="217" hidden="1" outlineLevel="1">
      <c r="A217" s="66" t="s">
        <v>48</v>
      </c>
      <c r="B217" s="16"/>
      <c r="C217" s="35">
        <v>6.0</v>
      </c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</row>
    <row r="218" hidden="1" outlineLevel="1">
      <c r="A218" s="66" t="s">
        <v>47</v>
      </c>
      <c r="B218" s="16"/>
      <c r="C218" s="35">
        <v>14.0</v>
      </c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</row>
    <row r="219" hidden="1" outlineLevel="1">
      <c r="A219" s="66"/>
      <c r="B219" s="16" t="s">
        <v>59</v>
      </c>
      <c r="C219" s="35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</row>
    <row r="220" hidden="1" outlineLevel="1">
      <c r="A220" s="66" t="s">
        <v>48</v>
      </c>
      <c r="B220" s="16"/>
      <c r="C220" s="35">
        <v>1.0</v>
      </c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</row>
    <row r="221" hidden="1" outlineLevel="1">
      <c r="A221" s="66" t="s">
        <v>47</v>
      </c>
      <c r="B221" s="16"/>
      <c r="C221" s="35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</row>
    <row r="222" hidden="1" outlineLevel="1">
      <c r="A222" s="66"/>
      <c r="B222" s="16" t="s">
        <v>60</v>
      </c>
      <c r="C222" s="35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</row>
    <row r="223" hidden="1" outlineLevel="1">
      <c r="A223" s="66" t="s">
        <v>48</v>
      </c>
      <c r="B223" s="16"/>
      <c r="C223" s="35">
        <v>3.0</v>
      </c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</row>
    <row r="224" hidden="1" outlineLevel="1">
      <c r="A224" s="66" t="s">
        <v>47</v>
      </c>
      <c r="B224" s="16"/>
      <c r="C224" s="35">
        <v>6.0</v>
      </c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</row>
    <row r="225" hidden="1" outlineLevel="1">
      <c r="A225" s="66"/>
      <c r="B225" s="16" t="s">
        <v>61</v>
      </c>
      <c r="C225" s="35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</row>
    <row r="226" hidden="1" outlineLevel="1">
      <c r="A226" s="66" t="s">
        <v>48</v>
      </c>
      <c r="B226" s="16"/>
      <c r="C226" s="35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</row>
    <row r="227" hidden="1" outlineLevel="1">
      <c r="A227" s="66" t="s">
        <v>47</v>
      </c>
      <c r="B227" s="16"/>
      <c r="C227" s="35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</row>
    <row r="228" hidden="1" outlineLevel="1">
      <c r="A228" s="66"/>
      <c r="B228" s="16" t="s">
        <v>62</v>
      </c>
      <c r="C228" s="35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</row>
    <row r="229" hidden="1" outlineLevel="1">
      <c r="A229" s="66" t="s">
        <v>48</v>
      </c>
      <c r="B229" s="16"/>
      <c r="C229" s="35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</row>
    <row r="230" hidden="1" outlineLevel="1">
      <c r="A230" s="66" t="s">
        <v>47</v>
      </c>
      <c r="B230" s="16"/>
      <c r="C230" s="35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</row>
    <row r="231" hidden="1" outlineLevel="1">
      <c r="A231" s="66"/>
      <c r="B231" s="16" t="s">
        <v>63</v>
      </c>
      <c r="C231" s="35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</row>
    <row r="232" hidden="1" outlineLevel="1">
      <c r="A232" s="66" t="s">
        <v>48</v>
      </c>
      <c r="B232" s="15"/>
      <c r="C232" s="35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</row>
    <row r="233" hidden="1" outlineLevel="1">
      <c r="A233" s="66" t="s">
        <v>47</v>
      </c>
      <c r="B233" s="15"/>
      <c r="C233" s="35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</row>
    <row r="234" hidden="1" outlineLevel="1">
      <c r="A234" s="66"/>
      <c r="B234" s="42" t="s">
        <v>66</v>
      </c>
      <c r="C234" s="35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</row>
    <row r="235" hidden="1" outlineLevel="1">
      <c r="A235" s="66"/>
      <c r="B235" s="16" t="s">
        <v>67</v>
      </c>
      <c r="C235" s="35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</row>
    <row r="236" hidden="1" outlineLevel="1">
      <c r="A236" s="66" t="s">
        <v>48</v>
      </c>
      <c r="B236" s="16"/>
      <c r="C236" s="35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</row>
    <row r="237" hidden="1" outlineLevel="1">
      <c r="A237" s="66" t="s">
        <v>47</v>
      </c>
      <c r="B237" s="16"/>
      <c r="C237" s="35">
        <v>5.0</v>
      </c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</row>
    <row r="238" hidden="1" outlineLevel="1">
      <c r="A238" s="66"/>
      <c r="B238" s="16" t="s">
        <v>68</v>
      </c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</row>
    <row r="239" hidden="1" outlineLevel="1">
      <c r="A239" s="66" t="s">
        <v>48</v>
      </c>
      <c r="B239" s="16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</row>
    <row r="240" hidden="1" outlineLevel="1">
      <c r="A240" s="66" t="s">
        <v>47</v>
      </c>
      <c r="B240" s="16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</row>
    <row r="241" hidden="1" outlineLevel="1">
      <c r="A241" s="66"/>
      <c r="B241" s="16" t="s">
        <v>69</v>
      </c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</row>
    <row r="242" hidden="1" outlineLevel="1">
      <c r="A242" s="66" t="s">
        <v>48</v>
      </c>
      <c r="B242" s="16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</row>
    <row r="243" hidden="1" outlineLevel="1">
      <c r="A243" s="66" t="s">
        <v>47</v>
      </c>
      <c r="B243" s="16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</row>
    <row r="244" hidden="1" outlineLevel="1">
      <c r="A244" s="66"/>
      <c r="B244" s="16" t="s">
        <v>70</v>
      </c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</row>
    <row r="245" hidden="1" outlineLevel="1">
      <c r="A245" s="66" t="s">
        <v>48</v>
      </c>
      <c r="B245" s="16"/>
      <c r="C245" s="35">
        <v>0.0</v>
      </c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</row>
    <row r="246" hidden="1" outlineLevel="1">
      <c r="A246" s="66" t="s">
        <v>47</v>
      </c>
      <c r="B246" s="16"/>
      <c r="C246" s="35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</row>
    <row r="247" hidden="1" outlineLevel="1">
      <c r="A247" s="66"/>
      <c r="B247" s="48" t="s">
        <v>53</v>
      </c>
      <c r="C247" s="35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</row>
    <row r="248" hidden="1" outlineLevel="1">
      <c r="A248" s="66"/>
      <c r="B248" s="66" t="s">
        <v>71</v>
      </c>
      <c r="C248" s="35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</row>
    <row r="249" hidden="1" outlineLevel="1">
      <c r="A249" s="66" t="s">
        <v>48</v>
      </c>
      <c r="B249" s="66"/>
      <c r="C249" s="35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</row>
    <row r="250" hidden="1" outlineLevel="1">
      <c r="A250" s="66" t="s">
        <v>47</v>
      </c>
      <c r="B250" s="66"/>
      <c r="C250" s="35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</row>
    <row r="251" hidden="1" outlineLevel="1">
      <c r="A251" s="66"/>
      <c r="B251" s="66" t="s">
        <v>72</v>
      </c>
      <c r="C251" s="35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</row>
    <row r="252" hidden="1" outlineLevel="1">
      <c r="A252" s="66" t="s">
        <v>48</v>
      </c>
      <c r="B252" s="66"/>
      <c r="C252" s="35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</row>
    <row r="253" hidden="1" outlineLevel="1">
      <c r="A253" s="66" t="s">
        <v>47</v>
      </c>
      <c r="B253" s="66"/>
      <c r="C253" s="35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</row>
    <row r="254" hidden="1" outlineLevel="1">
      <c r="A254" s="66"/>
      <c r="B254" s="66" t="s">
        <v>73</v>
      </c>
      <c r="C254" s="35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</row>
    <row r="255" hidden="1" outlineLevel="1">
      <c r="A255" s="66" t="s">
        <v>48</v>
      </c>
      <c r="B255" s="66"/>
      <c r="C255" s="35">
        <v>4.0</v>
      </c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</row>
    <row r="256" hidden="1" outlineLevel="1">
      <c r="A256" s="66" t="s">
        <v>47</v>
      </c>
      <c r="B256" s="66"/>
      <c r="C256" s="35">
        <v>2.0</v>
      </c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</row>
    <row r="257" hidden="1" outlineLevel="1">
      <c r="A257" s="66"/>
      <c r="B257" s="66" t="s">
        <v>74</v>
      </c>
      <c r="C257" s="35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</row>
    <row r="258" hidden="1" outlineLevel="1">
      <c r="A258" s="66" t="s">
        <v>48</v>
      </c>
      <c r="B258" s="45"/>
      <c r="C258" s="35">
        <v>3.0</v>
      </c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</row>
    <row r="259" hidden="1" outlineLevel="1">
      <c r="A259" s="66" t="s">
        <v>47</v>
      </c>
      <c r="B259" s="16"/>
      <c r="C259" s="35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</row>
    <row r="260" hidden="1" outlineLevel="1">
      <c r="A260" s="68"/>
      <c r="B260" s="49" t="s">
        <v>54</v>
      </c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</row>
    <row r="261" hidden="1" outlineLevel="1">
      <c r="A261" s="68"/>
      <c r="B261" s="12" t="s">
        <v>60</v>
      </c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</row>
    <row r="262" hidden="1" outlineLevel="1">
      <c r="A262" s="66" t="s">
        <v>48</v>
      </c>
      <c r="B262" s="68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</row>
    <row r="263" hidden="1" outlineLevel="1">
      <c r="A263" s="66" t="s">
        <v>47</v>
      </c>
      <c r="B263" s="68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</row>
    <row r="264" hidden="1" outlineLevel="1">
      <c r="A264" s="68"/>
      <c r="B264" s="68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</row>
    <row r="265">
      <c r="A265" s="68"/>
      <c r="B265" s="68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</row>
    <row r="266">
      <c r="A266" s="68"/>
      <c r="B266" s="68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</row>
    <row r="267">
      <c r="A267" s="68"/>
      <c r="B267" s="68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</row>
    <row r="268">
      <c r="A268" s="68"/>
      <c r="B268" s="68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</row>
    <row r="269">
      <c r="A269" s="68"/>
      <c r="B269" s="68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</row>
    <row r="270">
      <c r="A270" s="68"/>
      <c r="B270" s="68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</row>
    <row r="271">
      <c r="A271" s="68"/>
      <c r="B271" s="68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</row>
    <row r="272">
      <c r="A272" s="68"/>
      <c r="B272" s="68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</row>
    <row r="273">
      <c r="A273" s="68"/>
      <c r="B273" s="68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</row>
    <row r="274">
      <c r="A274" s="68"/>
      <c r="B274" s="68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</row>
    <row r="275">
      <c r="A275" s="68"/>
      <c r="B275" s="68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</row>
    <row r="276">
      <c r="A276" s="68"/>
      <c r="B276" s="68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</row>
    <row r="277">
      <c r="A277" s="68"/>
      <c r="B277" s="68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</row>
    <row r="278">
      <c r="A278" s="68"/>
      <c r="B278" s="68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</row>
    <row r="279">
      <c r="A279" s="68"/>
      <c r="B279" s="68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</row>
    <row r="280">
      <c r="A280" s="68"/>
      <c r="B280" s="68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</row>
    <row r="281">
      <c r="A281" s="68"/>
      <c r="B281" s="68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</row>
    <row r="282">
      <c r="A282" s="68"/>
      <c r="B282" s="68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</row>
    <row r="283">
      <c r="A283" s="68"/>
      <c r="B283" s="68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</row>
    <row r="284">
      <c r="A284" s="68"/>
      <c r="B284" s="68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</row>
    <row r="285">
      <c r="A285" s="68"/>
      <c r="B285" s="68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</row>
    <row r="286">
      <c r="A286" s="68"/>
      <c r="B286" s="68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</row>
    <row r="287">
      <c r="A287" s="68"/>
      <c r="B287" s="68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</row>
    <row r="288">
      <c r="A288" s="68"/>
      <c r="B288" s="68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</row>
    <row r="289">
      <c r="A289" s="68"/>
      <c r="B289" s="68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</row>
    <row r="290">
      <c r="A290" s="68"/>
      <c r="B290" s="68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</row>
    <row r="291">
      <c r="A291" s="68"/>
      <c r="B291" s="68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</row>
    <row r="292">
      <c r="A292" s="68"/>
      <c r="B292" s="68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</row>
    <row r="293">
      <c r="A293" s="68"/>
      <c r="B293" s="68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</row>
    <row r="294">
      <c r="A294" s="68"/>
      <c r="B294" s="68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</row>
    <row r="295">
      <c r="A295" s="68"/>
      <c r="B295" s="68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</row>
    <row r="296">
      <c r="A296" s="68"/>
      <c r="B296" s="68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</row>
    <row r="297">
      <c r="A297" s="68"/>
      <c r="B297" s="68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</row>
    <row r="298">
      <c r="A298" s="68"/>
      <c r="B298" s="68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</row>
    <row r="299">
      <c r="A299" s="68"/>
      <c r="B299" s="68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</row>
    <row r="300">
      <c r="A300" s="68"/>
      <c r="B300" s="68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</row>
    <row r="301">
      <c r="A301" s="68"/>
      <c r="B301" s="68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</row>
    <row r="302">
      <c r="A302" s="68"/>
      <c r="B302" s="68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</row>
    <row r="303">
      <c r="A303" s="68"/>
      <c r="B303" s="68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</row>
    <row r="304">
      <c r="A304" s="68"/>
      <c r="B304" s="68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</row>
    <row r="305">
      <c r="A305" s="68"/>
      <c r="B305" s="68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</row>
    <row r="306">
      <c r="A306" s="68"/>
      <c r="B306" s="68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</row>
    <row r="307">
      <c r="A307" s="68"/>
      <c r="B307" s="68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</row>
    <row r="308">
      <c r="A308" s="68"/>
      <c r="B308" s="68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</row>
    <row r="309">
      <c r="A309" s="68"/>
      <c r="B309" s="68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</row>
    <row r="310">
      <c r="A310" s="68"/>
      <c r="B310" s="68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</row>
    <row r="311">
      <c r="A311" s="68"/>
      <c r="B311" s="68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</row>
    <row r="312">
      <c r="A312" s="68"/>
      <c r="B312" s="68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</row>
    <row r="313">
      <c r="A313" s="68"/>
      <c r="B313" s="68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</row>
    <row r="314">
      <c r="A314" s="68"/>
      <c r="B314" s="68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</row>
    <row r="315">
      <c r="A315" s="68"/>
      <c r="B315" s="68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</row>
    <row r="316">
      <c r="A316" s="68"/>
      <c r="B316" s="68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</row>
    <row r="317">
      <c r="A317" s="68"/>
      <c r="B317" s="68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</row>
    <row r="318">
      <c r="A318" s="68"/>
      <c r="B318" s="68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</row>
    <row r="319">
      <c r="A319" s="68"/>
      <c r="B319" s="68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</row>
    <row r="320">
      <c r="A320" s="68"/>
      <c r="B320" s="68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</row>
    <row r="321">
      <c r="A321" s="68"/>
      <c r="B321" s="68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</row>
    <row r="322">
      <c r="A322" s="68"/>
      <c r="B322" s="68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</row>
    <row r="323">
      <c r="A323" s="68"/>
      <c r="B323" s="68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</row>
    <row r="324">
      <c r="A324" s="68"/>
      <c r="B324" s="68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</row>
    <row r="325">
      <c r="A325" s="68"/>
      <c r="B325" s="68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</row>
    <row r="326">
      <c r="A326" s="68"/>
      <c r="B326" s="68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</row>
    <row r="327">
      <c r="A327" s="68"/>
      <c r="B327" s="68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</row>
    <row r="328">
      <c r="A328" s="68"/>
      <c r="B328" s="68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</row>
    <row r="329">
      <c r="A329" s="68"/>
      <c r="B329" s="68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</row>
    <row r="330">
      <c r="A330" s="68"/>
      <c r="B330" s="68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</row>
    <row r="331">
      <c r="A331" s="68"/>
      <c r="B331" s="68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</row>
    <row r="332">
      <c r="A332" s="68"/>
      <c r="B332" s="68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</row>
    <row r="333">
      <c r="A333" s="68"/>
      <c r="B333" s="68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</row>
    <row r="334">
      <c r="A334" s="68"/>
      <c r="B334" s="68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</row>
    <row r="335">
      <c r="A335" s="68"/>
      <c r="B335" s="68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</row>
    <row r="336">
      <c r="A336" s="68"/>
      <c r="B336" s="68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</row>
    <row r="337">
      <c r="A337" s="68"/>
      <c r="B337" s="68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</row>
    <row r="338">
      <c r="A338" s="68"/>
      <c r="B338" s="68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</row>
    <row r="339">
      <c r="A339" s="68"/>
      <c r="B339" s="68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</row>
    <row r="340">
      <c r="A340" s="68"/>
      <c r="B340" s="68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</row>
    <row r="341">
      <c r="A341" s="68"/>
      <c r="B341" s="68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</row>
    <row r="342">
      <c r="A342" s="68"/>
      <c r="B342" s="68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</row>
    <row r="343">
      <c r="A343" s="68"/>
      <c r="B343" s="68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</row>
    <row r="344">
      <c r="A344" s="68"/>
      <c r="B344" s="68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</row>
    <row r="345">
      <c r="A345" s="68"/>
      <c r="B345" s="68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</row>
    <row r="346">
      <c r="A346" s="68"/>
      <c r="B346" s="68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</row>
    <row r="347">
      <c r="A347" s="68"/>
      <c r="B347" s="68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</row>
    <row r="348">
      <c r="A348" s="68"/>
      <c r="B348" s="68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</row>
    <row r="349">
      <c r="A349" s="68"/>
      <c r="B349" s="68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</row>
    <row r="350">
      <c r="A350" s="68"/>
      <c r="B350" s="68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</row>
    <row r="351">
      <c r="A351" s="68"/>
      <c r="B351" s="68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</row>
    <row r="352">
      <c r="A352" s="68"/>
      <c r="B352" s="68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</row>
    <row r="353">
      <c r="A353" s="68"/>
      <c r="B353" s="68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</row>
    <row r="354">
      <c r="A354" s="68"/>
      <c r="B354" s="68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</row>
    <row r="355">
      <c r="A355" s="68"/>
      <c r="B355" s="68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</row>
    <row r="356">
      <c r="A356" s="68"/>
      <c r="B356" s="68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</row>
    <row r="357">
      <c r="A357" s="68"/>
      <c r="B357" s="68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</row>
    <row r="358">
      <c r="A358" s="68"/>
      <c r="B358" s="68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</row>
    <row r="359">
      <c r="A359" s="68"/>
      <c r="B359" s="68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</row>
    <row r="360">
      <c r="A360" s="68"/>
      <c r="B360" s="68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</row>
    <row r="361">
      <c r="A361" s="68"/>
      <c r="B361" s="68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</row>
    <row r="362">
      <c r="A362" s="68"/>
      <c r="B362" s="68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</row>
    <row r="363">
      <c r="A363" s="68"/>
      <c r="B363" s="68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</row>
    <row r="364">
      <c r="A364" s="68"/>
      <c r="B364" s="68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</row>
    <row r="365">
      <c r="A365" s="68"/>
      <c r="B365" s="68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</row>
    <row r="366">
      <c r="A366" s="68"/>
      <c r="B366" s="68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</row>
    <row r="367">
      <c r="A367" s="68"/>
      <c r="B367" s="68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</row>
    <row r="368">
      <c r="A368" s="68"/>
      <c r="B368" s="68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</row>
    <row r="369">
      <c r="A369" s="68"/>
      <c r="B369" s="68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</row>
    <row r="370">
      <c r="A370" s="68"/>
      <c r="B370" s="68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</row>
    <row r="371">
      <c r="A371" s="68"/>
      <c r="B371" s="68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</row>
    <row r="372">
      <c r="A372" s="68"/>
      <c r="B372" s="68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</row>
    <row r="373">
      <c r="A373" s="68"/>
      <c r="B373" s="68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</row>
    <row r="374">
      <c r="A374" s="68"/>
      <c r="B374" s="68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</row>
    <row r="375">
      <c r="A375" s="68"/>
      <c r="B375" s="68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</row>
    <row r="376">
      <c r="A376" s="68"/>
      <c r="B376" s="68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</row>
    <row r="377">
      <c r="A377" s="68"/>
      <c r="B377" s="68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</row>
    <row r="378">
      <c r="A378" s="68"/>
      <c r="B378" s="68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</row>
    <row r="379">
      <c r="A379" s="68"/>
      <c r="B379" s="68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</row>
    <row r="380">
      <c r="A380" s="68"/>
      <c r="B380" s="68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</row>
    <row r="381">
      <c r="A381" s="68"/>
      <c r="B381" s="68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</row>
    <row r="382">
      <c r="A382" s="68"/>
      <c r="B382" s="68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</row>
    <row r="383">
      <c r="A383" s="68"/>
      <c r="B383" s="68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</row>
    <row r="384">
      <c r="A384" s="68"/>
      <c r="B384" s="68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</row>
    <row r="385">
      <c r="A385" s="68"/>
      <c r="B385" s="68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</row>
    <row r="386">
      <c r="A386" s="68"/>
      <c r="B386" s="68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</row>
    <row r="387">
      <c r="A387" s="68"/>
      <c r="B387" s="68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</row>
    <row r="388">
      <c r="A388" s="68"/>
      <c r="B388" s="68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</row>
    <row r="389">
      <c r="A389" s="68"/>
      <c r="B389" s="68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</row>
    <row r="390">
      <c r="A390" s="68"/>
      <c r="B390" s="68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</row>
    <row r="391">
      <c r="A391" s="68"/>
      <c r="B391" s="68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</row>
    <row r="392">
      <c r="A392" s="68"/>
      <c r="B392" s="68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</row>
    <row r="393">
      <c r="A393" s="68"/>
      <c r="B393" s="68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</row>
    <row r="394">
      <c r="A394" s="68"/>
      <c r="B394" s="68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</row>
    <row r="395">
      <c r="A395" s="68"/>
      <c r="B395" s="68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</row>
    <row r="396">
      <c r="A396" s="68"/>
      <c r="B396" s="68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</row>
    <row r="397">
      <c r="A397" s="68"/>
      <c r="B397" s="68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</row>
    <row r="398">
      <c r="A398" s="68"/>
      <c r="B398" s="68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</row>
    <row r="399">
      <c r="A399" s="68"/>
      <c r="B399" s="68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</row>
    <row r="400">
      <c r="A400" s="68"/>
      <c r="B400" s="68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</row>
    <row r="401">
      <c r="A401" s="68"/>
      <c r="B401" s="68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</row>
    <row r="402">
      <c r="A402" s="68"/>
      <c r="B402" s="68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</row>
    <row r="403">
      <c r="A403" s="68"/>
      <c r="B403" s="68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</row>
    <row r="404">
      <c r="A404" s="68"/>
      <c r="B404" s="68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</row>
    <row r="405">
      <c r="A405" s="68"/>
      <c r="B405" s="68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</row>
    <row r="406">
      <c r="A406" s="68"/>
      <c r="B406" s="68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</row>
    <row r="407">
      <c r="A407" s="68"/>
      <c r="B407" s="68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</row>
    <row r="408">
      <c r="A408" s="68"/>
      <c r="B408" s="68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</row>
    <row r="409">
      <c r="A409" s="68"/>
      <c r="B409" s="68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</row>
    <row r="410">
      <c r="A410" s="68"/>
      <c r="B410" s="68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</row>
    <row r="411">
      <c r="A411" s="68"/>
      <c r="B411" s="68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</row>
    <row r="412">
      <c r="A412" s="68"/>
      <c r="B412" s="68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</row>
    <row r="413">
      <c r="A413" s="68"/>
      <c r="B413" s="68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</row>
    <row r="414">
      <c r="A414" s="68"/>
      <c r="B414" s="68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</row>
    <row r="415">
      <c r="A415" s="68"/>
      <c r="B415" s="68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</row>
    <row r="416">
      <c r="A416" s="68"/>
      <c r="B416" s="68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</row>
    <row r="417">
      <c r="A417" s="68"/>
      <c r="B417" s="68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</row>
    <row r="418">
      <c r="A418" s="68"/>
      <c r="B418" s="68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</row>
    <row r="419">
      <c r="A419" s="68"/>
      <c r="B419" s="68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</row>
    <row r="420">
      <c r="A420" s="68"/>
      <c r="B420" s="68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</row>
    <row r="421">
      <c r="A421" s="68"/>
      <c r="B421" s="68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</row>
    <row r="422">
      <c r="A422" s="68"/>
      <c r="B422" s="68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</row>
    <row r="423">
      <c r="A423" s="68"/>
      <c r="B423" s="68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</row>
    <row r="424">
      <c r="A424" s="68"/>
      <c r="B424" s="68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</row>
    <row r="425">
      <c r="A425" s="68"/>
      <c r="B425" s="68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</row>
    <row r="426">
      <c r="A426" s="68"/>
      <c r="B426" s="68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</row>
    <row r="427">
      <c r="A427" s="68"/>
      <c r="B427" s="68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</row>
    <row r="428">
      <c r="A428" s="68"/>
      <c r="B428" s="68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</row>
    <row r="429">
      <c r="A429" s="68"/>
      <c r="B429" s="68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</row>
    <row r="430">
      <c r="A430" s="68"/>
      <c r="B430" s="68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</row>
    <row r="431">
      <c r="A431" s="68"/>
      <c r="B431" s="68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</row>
    <row r="432">
      <c r="A432" s="68"/>
      <c r="B432" s="68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</row>
    <row r="433">
      <c r="A433" s="68"/>
      <c r="B433" s="68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</row>
    <row r="434">
      <c r="A434" s="68"/>
      <c r="B434" s="68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</row>
    <row r="435">
      <c r="A435" s="68"/>
      <c r="B435" s="68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</row>
    <row r="436">
      <c r="A436" s="68"/>
      <c r="B436" s="68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</row>
    <row r="437">
      <c r="A437" s="68"/>
      <c r="B437" s="68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</row>
    <row r="438">
      <c r="A438" s="68"/>
      <c r="B438" s="68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</row>
    <row r="439">
      <c r="A439" s="68"/>
      <c r="B439" s="68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</row>
    <row r="440">
      <c r="A440" s="68"/>
      <c r="B440" s="68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</row>
    <row r="441">
      <c r="A441" s="68"/>
      <c r="B441" s="68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</row>
    <row r="442">
      <c r="A442" s="68"/>
      <c r="B442" s="68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</row>
    <row r="443">
      <c r="A443" s="68"/>
      <c r="B443" s="68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</row>
    <row r="444">
      <c r="A444" s="68"/>
      <c r="B444" s="68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</row>
    <row r="445">
      <c r="A445" s="68"/>
      <c r="B445" s="68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</row>
    <row r="446">
      <c r="A446" s="68"/>
      <c r="B446" s="68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</row>
    <row r="447">
      <c r="A447" s="68"/>
      <c r="B447" s="68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</row>
    <row r="448">
      <c r="A448" s="68"/>
      <c r="B448" s="68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</row>
    <row r="449">
      <c r="A449" s="68"/>
      <c r="B449" s="68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</row>
    <row r="450">
      <c r="A450" s="68"/>
      <c r="B450" s="68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</row>
    <row r="451">
      <c r="A451" s="68"/>
      <c r="B451" s="68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</row>
    <row r="452">
      <c r="A452" s="68"/>
      <c r="B452" s="68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</row>
    <row r="453">
      <c r="A453" s="68"/>
      <c r="B453" s="68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</row>
    <row r="454">
      <c r="A454" s="68"/>
      <c r="B454" s="68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</row>
    <row r="455">
      <c r="A455" s="68"/>
      <c r="B455" s="68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</row>
    <row r="456">
      <c r="A456" s="68"/>
      <c r="B456" s="68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</row>
    <row r="457">
      <c r="A457" s="68"/>
      <c r="B457" s="68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</row>
    <row r="458">
      <c r="A458" s="68"/>
      <c r="B458" s="68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</row>
    <row r="459">
      <c r="A459" s="68"/>
      <c r="B459" s="68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</row>
    <row r="460">
      <c r="A460" s="68"/>
      <c r="B460" s="68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</row>
    <row r="461">
      <c r="A461" s="68"/>
      <c r="B461" s="68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</row>
    <row r="462">
      <c r="A462" s="68"/>
      <c r="B462" s="68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</row>
    <row r="463">
      <c r="A463" s="68"/>
      <c r="B463" s="68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</row>
    <row r="464">
      <c r="A464" s="68"/>
      <c r="B464" s="68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</row>
    <row r="465">
      <c r="A465" s="68"/>
      <c r="B465" s="68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</row>
    <row r="466">
      <c r="A466" s="68"/>
      <c r="B466" s="68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</row>
    <row r="467">
      <c r="A467" s="68"/>
      <c r="B467" s="68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</row>
    <row r="468">
      <c r="A468" s="68"/>
      <c r="B468" s="68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</row>
    <row r="469">
      <c r="A469" s="68"/>
      <c r="B469" s="68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</row>
    <row r="470">
      <c r="A470" s="68"/>
      <c r="B470" s="68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</row>
    <row r="471">
      <c r="A471" s="68"/>
      <c r="B471" s="68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</row>
    <row r="472">
      <c r="A472" s="68"/>
      <c r="B472" s="68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</row>
    <row r="473">
      <c r="A473" s="68"/>
      <c r="B473" s="68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</row>
    <row r="474">
      <c r="A474" s="68"/>
      <c r="B474" s="68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</row>
    <row r="475">
      <c r="A475" s="68"/>
      <c r="B475" s="68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</row>
    <row r="476">
      <c r="A476" s="68"/>
      <c r="B476" s="68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</row>
    <row r="477">
      <c r="A477" s="68"/>
      <c r="B477" s="68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</row>
    <row r="478">
      <c r="A478" s="68"/>
      <c r="B478" s="68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</row>
    <row r="479">
      <c r="A479" s="68"/>
      <c r="B479" s="68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</row>
    <row r="480">
      <c r="A480" s="68"/>
      <c r="B480" s="68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</row>
    <row r="481">
      <c r="A481" s="68"/>
      <c r="B481" s="68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</row>
    <row r="482">
      <c r="A482" s="68"/>
      <c r="B482" s="68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</row>
    <row r="483">
      <c r="A483" s="68"/>
      <c r="B483" s="68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</row>
    <row r="484">
      <c r="A484" s="68"/>
      <c r="B484" s="68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</row>
    <row r="485">
      <c r="A485" s="68"/>
      <c r="B485" s="68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</row>
    <row r="486">
      <c r="A486" s="68"/>
      <c r="B486" s="68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</row>
    <row r="487">
      <c r="A487" s="68"/>
      <c r="B487" s="68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</row>
    <row r="488">
      <c r="A488" s="68"/>
      <c r="B488" s="68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</row>
    <row r="489">
      <c r="A489" s="68"/>
      <c r="B489" s="68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</row>
    <row r="490">
      <c r="A490" s="68"/>
      <c r="B490" s="68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</row>
    <row r="491">
      <c r="A491" s="68"/>
      <c r="B491" s="68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</row>
    <row r="492">
      <c r="A492" s="68"/>
      <c r="B492" s="68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</row>
    <row r="493">
      <c r="A493" s="68"/>
      <c r="B493" s="68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</row>
    <row r="494">
      <c r="A494" s="68"/>
      <c r="B494" s="68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</row>
    <row r="495">
      <c r="A495" s="68"/>
      <c r="B495" s="68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</row>
    <row r="496">
      <c r="A496" s="68"/>
      <c r="B496" s="68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</row>
    <row r="497">
      <c r="A497" s="68"/>
      <c r="B497" s="68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</row>
    <row r="498">
      <c r="A498" s="68"/>
      <c r="B498" s="68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</row>
    <row r="499">
      <c r="A499" s="68"/>
      <c r="B499" s="68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</row>
    <row r="500">
      <c r="A500" s="68"/>
      <c r="B500" s="68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</row>
    <row r="501">
      <c r="A501" s="68"/>
      <c r="B501" s="68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</row>
    <row r="502">
      <c r="A502" s="68"/>
      <c r="B502" s="68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</row>
    <row r="503">
      <c r="A503" s="68"/>
      <c r="B503" s="68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</row>
    <row r="504">
      <c r="A504" s="68"/>
      <c r="B504" s="68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</row>
    <row r="505">
      <c r="A505" s="68"/>
      <c r="B505" s="68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</row>
    <row r="506">
      <c r="A506" s="68"/>
      <c r="B506" s="68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</row>
    <row r="507">
      <c r="A507" s="68"/>
      <c r="B507" s="68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</row>
    <row r="508">
      <c r="A508" s="68"/>
      <c r="B508" s="68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</row>
    <row r="509">
      <c r="A509" s="68"/>
      <c r="B509" s="68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</row>
    <row r="510">
      <c r="A510" s="68"/>
      <c r="B510" s="68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</row>
    <row r="511">
      <c r="A511" s="68"/>
      <c r="B511" s="68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</row>
    <row r="512">
      <c r="A512" s="68"/>
      <c r="B512" s="68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</row>
    <row r="513">
      <c r="A513" s="68"/>
      <c r="B513" s="68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</row>
    <row r="514">
      <c r="A514" s="68"/>
      <c r="B514" s="68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</row>
    <row r="515">
      <c r="A515" s="68"/>
      <c r="B515" s="68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</row>
    <row r="516">
      <c r="A516" s="68"/>
      <c r="B516" s="68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</row>
    <row r="517">
      <c r="A517" s="68"/>
      <c r="B517" s="68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</row>
    <row r="518">
      <c r="A518" s="68"/>
      <c r="B518" s="68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</row>
    <row r="519">
      <c r="A519" s="68"/>
      <c r="B519" s="68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</row>
    <row r="520">
      <c r="A520" s="68"/>
      <c r="B520" s="68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</row>
    <row r="521">
      <c r="A521" s="68"/>
      <c r="B521" s="68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</row>
    <row r="522">
      <c r="A522" s="68"/>
      <c r="B522" s="68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</row>
    <row r="523">
      <c r="A523" s="68"/>
      <c r="B523" s="68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</row>
    <row r="524">
      <c r="A524" s="68"/>
      <c r="B524" s="68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</row>
    <row r="525">
      <c r="A525" s="68"/>
      <c r="B525" s="68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</row>
    <row r="526">
      <c r="A526" s="68"/>
      <c r="B526" s="68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</row>
    <row r="527">
      <c r="A527" s="68"/>
      <c r="B527" s="68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</row>
    <row r="528">
      <c r="A528" s="68"/>
      <c r="B528" s="68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</row>
    <row r="529">
      <c r="A529" s="68"/>
      <c r="B529" s="68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</row>
    <row r="530">
      <c r="A530" s="68"/>
      <c r="B530" s="68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</row>
    <row r="531">
      <c r="A531" s="68"/>
      <c r="B531" s="68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</row>
    <row r="532">
      <c r="A532" s="68"/>
      <c r="B532" s="68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</row>
    <row r="533">
      <c r="A533" s="68"/>
      <c r="B533" s="68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</row>
    <row r="534">
      <c r="A534" s="68"/>
      <c r="B534" s="68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</row>
    <row r="535">
      <c r="A535" s="68"/>
      <c r="B535" s="68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</row>
    <row r="536">
      <c r="A536" s="68"/>
      <c r="B536" s="68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</row>
    <row r="537">
      <c r="A537" s="68"/>
      <c r="B537" s="68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</row>
    <row r="538">
      <c r="A538" s="68"/>
      <c r="B538" s="68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</row>
    <row r="539">
      <c r="A539" s="68"/>
      <c r="B539" s="68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</row>
    <row r="540">
      <c r="A540" s="68"/>
      <c r="B540" s="68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</row>
    <row r="541">
      <c r="A541" s="68"/>
      <c r="B541" s="68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</row>
    <row r="542">
      <c r="A542" s="68"/>
      <c r="B542" s="68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</row>
    <row r="543">
      <c r="A543" s="68"/>
      <c r="B543" s="68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</row>
    <row r="544">
      <c r="A544" s="68"/>
      <c r="B544" s="68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</row>
    <row r="545">
      <c r="A545" s="68"/>
      <c r="B545" s="68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</row>
    <row r="546">
      <c r="A546" s="68"/>
      <c r="B546" s="68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</row>
    <row r="547">
      <c r="A547" s="68"/>
      <c r="B547" s="68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</row>
    <row r="548">
      <c r="A548" s="68"/>
      <c r="B548" s="68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</row>
    <row r="549">
      <c r="A549" s="68"/>
      <c r="B549" s="68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</row>
    <row r="550">
      <c r="A550" s="68"/>
      <c r="B550" s="68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</row>
    <row r="551">
      <c r="A551" s="68"/>
      <c r="B551" s="68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</row>
    <row r="552">
      <c r="A552" s="68"/>
      <c r="B552" s="68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</row>
    <row r="553">
      <c r="A553" s="68"/>
      <c r="B553" s="68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</row>
    <row r="554">
      <c r="A554" s="68"/>
      <c r="B554" s="68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</row>
    <row r="555">
      <c r="A555" s="68"/>
      <c r="B555" s="68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</row>
    <row r="556">
      <c r="A556" s="68"/>
      <c r="B556" s="68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</row>
    <row r="557">
      <c r="A557" s="68"/>
      <c r="B557" s="68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</row>
    <row r="558">
      <c r="A558" s="68"/>
      <c r="B558" s="68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</row>
    <row r="559">
      <c r="A559" s="68"/>
      <c r="B559" s="68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</row>
    <row r="560">
      <c r="A560" s="68"/>
      <c r="B560" s="68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</row>
    <row r="561">
      <c r="A561" s="68"/>
      <c r="B561" s="68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</row>
    <row r="562">
      <c r="A562" s="68"/>
      <c r="B562" s="68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</row>
    <row r="563">
      <c r="A563" s="68"/>
      <c r="B563" s="68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</row>
    <row r="564">
      <c r="A564" s="68"/>
      <c r="B564" s="68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</row>
    <row r="565">
      <c r="A565" s="68"/>
      <c r="B565" s="68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</row>
    <row r="566">
      <c r="A566" s="68"/>
      <c r="B566" s="68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</row>
    <row r="567">
      <c r="A567" s="68"/>
      <c r="B567" s="68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</row>
    <row r="568">
      <c r="A568" s="68"/>
      <c r="B568" s="68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</row>
    <row r="569">
      <c r="A569" s="68"/>
      <c r="B569" s="68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</row>
    <row r="570">
      <c r="A570" s="68"/>
      <c r="B570" s="68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</row>
    <row r="571">
      <c r="A571" s="68"/>
      <c r="B571" s="68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</row>
    <row r="572">
      <c r="A572" s="68"/>
      <c r="B572" s="68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</row>
    <row r="573">
      <c r="A573" s="68"/>
      <c r="B573" s="68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</row>
    <row r="574">
      <c r="A574" s="68"/>
      <c r="B574" s="68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</row>
    <row r="575">
      <c r="A575" s="68"/>
      <c r="B575" s="68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</row>
    <row r="576">
      <c r="A576" s="68"/>
      <c r="B576" s="68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</row>
    <row r="577">
      <c r="A577" s="68"/>
      <c r="B577" s="68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</row>
    <row r="578">
      <c r="A578" s="68"/>
      <c r="B578" s="68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</row>
    <row r="579">
      <c r="A579" s="68"/>
      <c r="B579" s="68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</row>
    <row r="580">
      <c r="A580" s="68"/>
      <c r="B580" s="68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</row>
    <row r="581">
      <c r="A581" s="68"/>
      <c r="B581" s="68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</row>
    <row r="582">
      <c r="A582" s="68"/>
      <c r="B582" s="68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</row>
    <row r="583">
      <c r="A583" s="68"/>
      <c r="B583" s="68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</row>
    <row r="584">
      <c r="A584" s="68"/>
      <c r="B584" s="68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</row>
    <row r="585">
      <c r="A585" s="68"/>
      <c r="B585" s="68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</row>
    <row r="586">
      <c r="A586" s="68"/>
      <c r="B586" s="68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</row>
    <row r="587">
      <c r="A587" s="68"/>
      <c r="B587" s="68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</row>
    <row r="588">
      <c r="A588" s="68"/>
      <c r="B588" s="68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</row>
    <row r="589">
      <c r="A589" s="68"/>
      <c r="B589" s="68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</row>
    <row r="590">
      <c r="A590" s="68"/>
      <c r="B590" s="68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</row>
    <row r="591">
      <c r="A591" s="68"/>
      <c r="B591" s="68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</row>
    <row r="592">
      <c r="A592" s="68"/>
      <c r="B592" s="68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</row>
    <row r="593">
      <c r="A593" s="68"/>
      <c r="B593" s="68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</row>
    <row r="594">
      <c r="A594" s="68"/>
      <c r="B594" s="68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</row>
    <row r="595">
      <c r="A595" s="68"/>
      <c r="B595" s="68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</row>
    <row r="596">
      <c r="A596" s="68"/>
      <c r="B596" s="68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</row>
    <row r="597">
      <c r="A597" s="68"/>
      <c r="B597" s="68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</row>
    <row r="598">
      <c r="A598" s="68"/>
      <c r="B598" s="68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</row>
    <row r="599">
      <c r="A599" s="68"/>
      <c r="B599" s="68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</row>
    <row r="600">
      <c r="A600" s="68"/>
      <c r="B600" s="68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</row>
    <row r="601">
      <c r="A601" s="68"/>
      <c r="B601" s="68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</row>
    <row r="602">
      <c r="A602" s="68"/>
      <c r="B602" s="68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</row>
    <row r="603">
      <c r="A603" s="68"/>
      <c r="B603" s="68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</row>
    <row r="604">
      <c r="A604" s="68"/>
      <c r="B604" s="68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</row>
    <row r="605">
      <c r="A605" s="68"/>
      <c r="B605" s="68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</row>
    <row r="606">
      <c r="A606" s="68"/>
      <c r="B606" s="68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</row>
    <row r="607">
      <c r="A607" s="68"/>
      <c r="B607" s="68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</row>
    <row r="608">
      <c r="A608" s="68"/>
      <c r="B608" s="68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</row>
    <row r="609">
      <c r="A609" s="68"/>
      <c r="B609" s="68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</row>
    <row r="610">
      <c r="A610" s="68"/>
      <c r="B610" s="68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</row>
    <row r="611">
      <c r="A611" s="68"/>
      <c r="B611" s="68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</row>
    <row r="612">
      <c r="A612" s="68"/>
      <c r="B612" s="68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</row>
    <row r="613">
      <c r="A613" s="68"/>
      <c r="B613" s="68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</row>
    <row r="614">
      <c r="A614" s="68"/>
      <c r="B614" s="68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</row>
    <row r="615">
      <c r="A615" s="68"/>
      <c r="B615" s="68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</row>
    <row r="616">
      <c r="A616" s="68"/>
      <c r="B616" s="68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</row>
    <row r="617">
      <c r="A617" s="68"/>
      <c r="B617" s="68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</row>
    <row r="618">
      <c r="A618" s="68"/>
      <c r="B618" s="68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</row>
    <row r="619">
      <c r="A619" s="68"/>
      <c r="B619" s="68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</row>
    <row r="620">
      <c r="A620" s="68"/>
      <c r="B620" s="68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</row>
    <row r="621">
      <c r="A621" s="68"/>
      <c r="B621" s="68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</row>
    <row r="622">
      <c r="A622" s="68"/>
      <c r="B622" s="68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</row>
    <row r="623">
      <c r="A623" s="68"/>
      <c r="B623" s="68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</row>
    <row r="624">
      <c r="A624" s="68"/>
      <c r="B624" s="68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</row>
    <row r="625">
      <c r="A625" s="68"/>
      <c r="B625" s="68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</row>
    <row r="626">
      <c r="A626" s="68"/>
      <c r="B626" s="68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</row>
    <row r="627">
      <c r="A627" s="68"/>
      <c r="B627" s="68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</row>
    <row r="628">
      <c r="A628" s="68"/>
      <c r="B628" s="68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</row>
    <row r="629">
      <c r="A629" s="68"/>
      <c r="B629" s="68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</row>
    <row r="630">
      <c r="A630" s="68"/>
      <c r="B630" s="68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</row>
    <row r="631">
      <c r="A631" s="68"/>
      <c r="B631" s="68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</row>
    <row r="632">
      <c r="A632" s="68"/>
      <c r="B632" s="68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</row>
    <row r="633">
      <c r="A633" s="68"/>
      <c r="B633" s="68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</row>
    <row r="634">
      <c r="A634" s="68"/>
      <c r="B634" s="68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</row>
    <row r="635">
      <c r="A635" s="68"/>
      <c r="B635" s="68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</row>
    <row r="636">
      <c r="A636" s="68"/>
      <c r="B636" s="68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</row>
    <row r="637">
      <c r="A637" s="68"/>
      <c r="B637" s="68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</row>
    <row r="638">
      <c r="A638" s="68"/>
      <c r="B638" s="68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</row>
    <row r="639">
      <c r="A639" s="68"/>
      <c r="B639" s="68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</row>
    <row r="640">
      <c r="A640" s="68"/>
      <c r="B640" s="68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</row>
    <row r="641">
      <c r="A641" s="68"/>
      <c r="B641" s="68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</row>
    <row r="642">
      <c r="A642" s="68"/>
      <c r="B642" s="68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</row>
    <row r="643">
      <c r="A643" s="68"/>
      <c r="B643" s="68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</row>
    <row r="644">
      <c r="A644" s="68"/>
      <c r="B644" s="68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</row>
    <row r="645">
      <c r="A645" s="68"/>
      <c r="B645" s="68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</row>
    <row r="646">
      <c r="A646" s="68"/>
      <c r="B646" s="68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</row>
    <row r="647">
      <c r="A647" s="68"/>
      <c r="B647" s="68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</row>
    <row r="648">
      <c r="A648" s="68"/>
      <c r="B648" s="68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</row>
    <row r="649">
      <c r="A649" s="68"/>
      <c r="B649" s="68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</row>
    <row r="650">
      <c r="A650" s="68"/>
      <c r="B650" s="68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</row>
    <row r="651">
      <c r="A651" s="68"/>
      <c r="B651" s="68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</row>
    <row r="652">
      <c r="A652" s="68"/>
      <c r="B652" s="68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</row>
    <row r="653">
      <c r="A653" s="68"/>
      <c r="B653" s="68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</row>
    <row r="654">
      <c r="A654" s="68"/>
      <c r="B654" s="68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</row>
    <row r="655">
      <c r="A655" s="68"/>
      <c r="B655" s="68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</row>
    <row r="656">
      <c r="A656" s="68"/>
      <c r="B656" s="68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</row>
    <row r="657">
      <c r="A657" s="68"/>
      <c r="B657" s="68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</row>
    <row r="658">
      <c r="A658" s="68"/>
      <c r="B658" s="68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</row>
    <row r="659">
      <c r="A659" s="68"/>
      <c r="B659" s="68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</row>
    <row r="660">
      <c r="A660" s="68"/>
      <c r="B660" s="68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</row>
    <row r="661">
      <c r="A661" s="68"/>
      <c r="B661" s="68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</row>
    <row r="662">
      <c r="A662" s="68"/>
      <c r="B662" s="68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</row>
    <row r="663">
      <c r="A663" s="68"/>
      <c r="B663" s="68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</row>
    <row r="664">
      <c r="A664" s="68"/>
      <c r="B664" s="68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</row>
    <row r="665">
      <c r="A665" s="68"/>
      <c r="B665" s="68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</row>
    <row r="666">
      <c r="A666" s="68"/>
      <c r="B666" s="68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</row>
    <row r="667">
      <c r="A667" s="68"/>
      <c r="B667" s="68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</row>
    <row r="668">
      <c r="A668" s="68"/>
      <c r="B668" s="68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</row>
    <row r="669">
      <c r="A669" s="68"/>
      <c r="B669" s="68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</row>
    <row r="670">
      <c r="A670" s="68"/>
      <c r="B670" s="68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</row>
    <row r="671">
      <c r="A671" s="68"/>
      <c r="B671" s="68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</row>
    <row r="672">
      <c r="A672" s="68"/>
      <c r="B672" s="68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</row>
    <row r="673">
      <c r="A673" s="68"/>
      <c r="B673" s="68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</row>
    <row r="674">
      <c r="A674" s="68"/>
      <c r="B674" s="68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</row>
    <row r="675">
      <c r="A675" s="68"/>
      <c r="B675" s="68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</row>
    <row r="676">
      <c r="A676" s="68"/>
      <c r="B676" s="68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</row>
    <row r="677">
      <c r="A677" s="68"/>
      <c r="B677" s="68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</row>
    <row r="678">
      <c r="A678" s="68"/>
      <c r="B678" s="68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</row>
    <row r="679">
      <c r="A679" s="68"/>
      <c r="B679" s="68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</row>
    <row r="680">
      <c r="A680" s="68"/>
      <c r="B680" s="68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</row>
    <row r="681">
      <c r="A681" s="68"/>
      <c r="B681" s="68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</row>
    <row r="682">
      <c r="A682" s="68"/>
      <c r="B682" s="68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</row>
    <row r="683">
      <c r="A683" s="68"/>
      <c r="B683" s="68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</row>
    <row r="684">
      <c r="A684" s="68"/>
      <c r="B684" s="68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</row>
    <row r="685">
      <c r="A685" s="68"/>
      <c r="B685" s="68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</row>
    <row r="686">
      <c r="A686" s="68"/>
      <c r="B686" s="68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</row>
    <row r="687">
      <c r="A687" s="68"/>
      <c r="B687" s="68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</row>
    <row r="688">
      <c r="A688" s="68"/>
      <c r="B688" s="68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</row>
    <row r="689">
      <c r="A689" s="68"/>
      <c r="B689" s="68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</row>
    <row r="690">
      <c r="A690" s="68"/>
      <c r="B690" s="68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</row>
    <row r="691">
      <c r="A691" s="68"/>
      <c r="B691" s="68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</row>
    <row r="692">
      <c r="A692" s="68"/>
      <c r="B692" s="68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</row>
    <row r="693">
      <c r="A693" s="68"/>
      <c r="B693" s="68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</row>
    <row r="694">
      <c r="A694" s="68"/>
      <c r="B694" s="68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</row>
    <row r="695">
      <c r="A695" s="68"/>
      <c r="B695" s="68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</row>
    <row r="696">
      <c r="A696" s="68"/>
      <c r="B696" s="68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</row>
    <row r="697">
      <c r="A697" s="68"/>
      <c r="B697" s="68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</row>
    <row r="698">
      <c r="A698" s="68"/>
      <c r="B698" s="68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</row>
    <row r="699">
      <c r="A699" s="68"/>
      <c r="B699" s="68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</row>
    <row r="700">
      <c r="A700" s="68"/>
      <c r="B700" s="68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</row>
    <row r="701">
      <c r="A701" s="68"/>
      <c r="B701" s="68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</row>
    <row r="702">
      <c r="A702" s="68"/>
      <c r="B702" s="68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</row>
    <row r="703">
      <c r="A703" s="68"/>
      <c r="B703" s="68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</row>
    <row r="704">
      <c r="A704" s="68"/>
      <c r="B704" s="68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</row>
    <row r="705">
      <c r="A705" s="68"/>
      <c r="B705" s="68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</row>
    <row r="706">
      <c r="A706" s="68"/>
      <c r="B706" s="68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</row>
    <row r="707">
      <c r="A707" s="68"/>
      <c r="B707" s="68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</row>
    <row r="708">
      <c r="A708" s="68"/>
      <c r="B708" s="68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</row>
    <row r="709">
      <c r="A709" s="68"/>
      <c r="B709" s="68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</row>
    <row r="710">
      <c r="A710" s="68"/>
      <c r="B710" s="68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</row>
    <row r="711">
      <c r="A711" s="68"/>
      <c r="B711" s="68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</row>
    <row r="712">
      <c r="A712" s="68"/>
      <c r="B712" s="68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</row>
    <row r="713">
      <c r="A713" s="68"/>
      <c r="B713" s="68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</row>
    <row r="714">
      <c r="A714" s="68"/>
      <c r="B714" s="68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</row>
    <row r="715">
      <c r="A715" s="68"/>
      <c r="B715" s="68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</row>
    <row r="716">
      <c r="A716" s="68"/>
      <c r="B716" s="68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</row>
    <row r="717">
      <c r="A717" s="68"/>
      <c r="B717" s="68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</row>
    <row r="718">
      <c r="A718" s="68"/>
      <c r="B718" s="68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</row>
    <row r="719">
      <c r="A719" s="68"/>
      <c r="B719" s="68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</row>
    <row r="720">
      <c r="A720" s="68"/>
      <c r="B720" s="68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</row>
    <row r="721">
      <c r="A721" s="68"/>
      <c r="B721" s="68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</row>
    <row r="722">
      <c r="A722" s="68"/>
      <c r="B722" s="68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</row>
    <row r="723">
      <c r="A723" s="68"/>
      <c r="B723" s="68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</row>
    <row r="724">
      <c r="A724" s="68"/>
      <c r="B724" s="68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</row>
    <row r="725">
      <c r="A725" s="68"/>
      <c r="B725" s="68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</row>
    <row r="726">
      <c r="A726" s="68"/>
      <c r="B726" s="68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</row>
    <row r="727">
      <c r="A727" s="68"/>
      <c r="B727" s="68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</row>
    <row r="728">
      <c r="A728" s="68"/>
      <c r="B728" s="68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</row>
    <row r="729">
      <c r="A729" s="68"/>
      <c r="B729" s="68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</row>
    <row r="730">
      <c r="A730" s="68"/>
      <c r="B730" s="68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</row>
    <row r="731">
      <c r="A731" s="68"/>
      <c r="B731" s="68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</row>
    <row r="732">
      <c r="A732" s="68"/>
      <c r="B732" s="68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</row>
    <row r="733">
      <c r="A733" s="68"/>
      <c r="B733" s="68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</row>
    <row r="734">
      <c r="A734" s="68"/>
      <c r="B734" s="68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</row>
    <row r="735">
      <c r="A735" s="68"/>
      <c r="B735" s="68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</row>
    <row r="736">
      <c r="A736" s="68"/>
      <c r="B736" s="68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</row>
    <row r="737">
      <c r="A737" s="68"/>
      <c r="B737" s="68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</row>
    <row r="738">
      <c r="A738" s="68"/>
      <c r="B738" s="68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</row>
    <row r="739">
      <c r="A739" s="68"/>
      <c r="B739" s="68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</row>
    <row r="740">
      <c r="A740" s="68"/>
      <c r="B740" s="68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</row>
    <row r="741">
      <c r="A741" s="68"/>
      <c r="B741" s="68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</row>
    <row r="742">
      <c r="A742" s="68"/>
      <c r="B742" s="68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</row>
    <row r="743">
      <c r="A743" s="68"/>
      <c r="B743" s="68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</row>
    <row r="744">
      <c r="A744" s="68"/>
      <c r="B744" s="68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</row>
    <row r="745">
      <c r="A745" s="68"/>
      <c r="B745" s="68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</row>
    <row r="746">
      <c r="A746" s="68"/>
      <c r="B746" s="68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</row>
    <row r="747">
      <c r="A747" s="68"/>
      <c r="B747" s="68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</row>
    <row r="748">
      <c r="A748" s="68"/>
      <c r="B748" s="68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</row>
    <row r="749">
      <c r="A749" s="68"/>
      <c r="B749" s="68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</row>
    <row r="750">
      <c r="A750" s="68"/>
      <c r="B750" s="68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</row>
    <row r="751">
      <c r="A751" s="68"/>
      <c r="B751" s="68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</row>
    <row r="752">
      <c r="A752" s="68"/>
      <c r="B752" s="68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</row>
    <row r="753">
      <c r="A753" s="68"/>
      <c r="B753" s="68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</row>
    <row r="754">
      <c r="A754" s="68"/>
      <c r="B754" s="68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</row>
    <row r="755">
      <c r="A755" s="68"/>
      <c r="B755" s="68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</row>
    <row r="756">
      <c r="A756" s="68"/>
      <c r="B756" s="68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</row>
    <row r="757">
      <c r="A757" s="68"/>
      <c r="B757" s="68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</row>
    <row r="758">
      <c r="A758" s="68"/>
      <c r="B758" s="68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</row>
    <row r="759">
      <c r="A759" s="68"/>
      <c r="B759" s="68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</row>
    <row r="760">
      <c r="A760" s="68"/>
      <c r="B760" s="68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</row>
    <row r="761">
      <c r="A761" s="68"/>
      <c r="B761" s="68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</row>
    <row r="762">
      <c r="A762" s="68"/>
      <c r="B762" s="68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</row>
    <row r="763">
      <c r="A763" s="68"/>
      <c r="B763" s="68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</row>
    <row r="764">
      <c r="A764" s="68"/>
      <c r="B764" s="68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</row>
    <row r="765">
      <c r="A765" s="68"/>
      <c r="B765" s="68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</row>
    <row r="766">
      <c r="A766" s="68"/>
      <c r="B766" s="68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</row>
    <row r="767">
      <c r="A767" s="68"/>
      <c r="B767" s="68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</row>
    <row r="768">
      <c r="A768" s="68"/>
      <c r="B768" s="68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</row>
    <row r="769">
      <c r="A769" s="68"/>
      <c r="B769" s="68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</row>
    <row r="770">
      <c r="A770" s="68"/>
      <c r="B770" s="68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</row>
    <row r="771">
      <c r="A771" s="68"/>
      <c r="B771" s="68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</row>
    <row r="772">
      <c r="A772" s="68"/>
      <c r="B772" s="68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</row>
    <row r="773">
      <c r="A773" s="68"/>
      <c r="B773" s="68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</row>
    <row r="774">
      <c r="A774" s="68"/>
      <c r="B774" s="68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</row>
    <row r="775">
      <c r="A775" s="68"/>
      <c r="B775" s="68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</row>
    <row r="776">
      <c r="A776" s="68"/>
      <c r="B776" s="68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</row>
    <row r="777">
      <c r="A777" s="68"/>
      <c r="B777" s="68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</row>
    <row r="778">
      <c r="A778" s="68"/>
      <c r="B778" s="68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</row>
    <row r="779">
      <c r="A779" s="68"/>
      <c r="B779" s="68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</row>
    <row r="780">
      <c r="A780" s="68"/>
      <c r="B780" s="68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</row>
    <row r="781">
      <c r="A781" s="68"/>
      <c r="B781" s="68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</row>
    <row r="782">
      <c r="A782" s="68"/>
      <c r="B782" s="68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</row>
    <row r="783">
      <c r="A783" s="68"/>
      <c r="B783" s="68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</row>
    <row r="784">
      <c r="A784" s="68"/>
      <c r="B784" s="68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</row>
    <row r="785">
      <c r="A785" s="68"/>
      <c r="B785" s="68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</row>
    <row r="786">
      <c r="A786" s="68"/>
      <c r="B786" s="68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</row>
    <row r="787">
      <c r="A787" s="68"/>
      <c r="B787" s="68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</row>
    <row r="788">
      <c r="A788" s="68"/>
      <c r="B788" s="68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</row>
    <row r="789">
      <c r="A789" s="68"/>
      <c r="B789" s="68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</row>
    <row r="790">
      <c r="A790" s="68"/>
      <c r="B790" s="68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</row>
    <row r="791">
      <c r="A791" s="68"/>
      <c r="B791" s="68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</row>
    <row r="792">
      <c r="A792" s="68"/>
      <c r="B792" s="68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</row>
    <row r="793">
      <c r="A793" s="68"/>
      <c r="B793" s="68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</row>
    <row r="794">
      <c r="A794" s="68"/>
      <c r="B794" s="68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</row>
    <row r="795">
      <c r="A795" s="68"/>
      <c r="B795" s="68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</row>
    <row r="796">
      <c r="A796" s="68"/>
      <c r="B796" s="68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</row>
    <row r="797">
      <c r="A797" s="68"/>
      <c r="B797" s="68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</row>
    <row r="798">
      <c r="A798" s="68"/>
      <c r="B798" s="68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</row>
    <row r="799">
      <c r="A799" s="68"/>
      <c r="B799" s="68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</row>
    <row r="800">
      <c r="A800" s="68"/>
      <c r="B800" s="68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</row>
    <row r="801">
      <c r="A801" s="68"/>
      <c r="B801" s="68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</row>
    <row r="802">
      <c r="A802" s="68"/>
      <c r="B802" s="68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</row>
    <row r="803">
      <c r="A803" s="68"/>
      <c r="B803" s="68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</row>
    <row r="804">
      <c r="A804" s="68"/>
      <c r="B804" s="68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</row>
    <row r="805">
      <c r="A805" s="68"/>
      <c r="B805" s="68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</row>
    <row r="806">
      <c r="A806" s="68"/>
      <c r="B806" s="68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</row>
    <row r="807">
      <c r="A807" s="68"/>
      <c r="B807" s="68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</row>
    <row r="808">
      <c r="A808" s="68"/>
      <c r="B808" s="68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</row>
    <row r="809">
      <c r="A809" s="68"/>
      <c r="B809" s="68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</row>
    <row r="810">
      <c r="A810" s="68"/>
      <c r="B810" s="68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</row>
    <row r="811">
      <c r="A811" s="68"/>
      <c r="B811" s="68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</row>
    <row r="812">
      <c r="A812" s="68"/>
      <c r="B812" s="68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</row>
    <row r="813">
      <c r="A813" s="68"/>
      <c r="B813" s="68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</row>
    <row r="814">
      <c r="A814" s="68"/>
      <c r="B814" s="68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</row>
    <row r="815">
      <c r="A815" s="68"/>
      <c r="B815" s="68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</row>
    <row r="816">
      <c r="A816" s="68"/>
      <c r="B816" s="68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</row>
    <row r="817">
      <c r="A817" s="68"/>
      <c r="B817" s="68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</row>
    <row r="818">
      <c r="A818" s="68"/>
      <c r="B818" s="68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</row>
    <row r="819">
      <c r="A819" s="68"/>
      <c r="B819" s="68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</row>
    <row r="820">
      <c r="A820" s="68"/>
      <c r="B820" s="68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</row>
    <row r="821">
      <c r="A821" s="68"/>
      <c r="B821" s="68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</row>
    <row r="822">
      <c r="A822" s="68"/>
      <c r="B822" s="68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</row>
    <row r="823">
      <c r="A823" s="68"/>
      <c r="B823" s="68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</row>
    <row r="824">
      <c r="A824" s="68"/>
      <c r="B824" s="68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</row>
    <row r="825">
      <c r="A825" s="68"/>
      <c r="B825" s="68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</row>
    <row r="826">
      <c r="A826" s="68"/>
      <c r="B826" s="68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</row>
    <row r="827">
      <c r="A827" s="68"/>
      <c r="B827" s="68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</row>
    <row r="828">
      <c r="A828" s="68"/>
      <c r="B828" s="68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</row>
    <row r="829">
      <c r="A829" s="68"/>
      <c r="B829" s="68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</row>
    <row r="830">
      <c r="A830" s="68"/>
      <c r="B830" s="68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</row>
    <row r="831">
      <c r="A831" s="68"/>
      <c r="B831" s="68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</row>
    <row r="832">
      <c r="A832" s="68"/>
      <c r="B832" s="68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</row>
    <row r="833">
      <c r="A833" s="68"/>
      <c r="B833" s="68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</row>
    <row r="834">
      <c r="A834" s="68"/>
      <c r="B834" s="68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</row>
    <row r="835">
      <c r="A835" s="68"/>
      <c r="B835" s="68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</row>
    <row r="836">
      <c r="A836" s="68"/>
      <c r="B836" s="68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</row>
    <row r="837">
      <c r="A837" s="68"/>
      <c r="B837" s="68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</row>
    <row r="838">
      <c r="A838" s="68"/>
      <c r="B838" s="68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</row>
    <row r="839">
      <c r="A839" s="68"/>
      <c r="B839" s="68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</row>
    <row r="840">
      <c r="A840" s="68"/>
      <c r="B840" s="68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</row>
    <row r="841">
      <c r="A841" s="68"/>
      <c r="B841" s="68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</row>
    <row r="842">
      <c r="A842" s="68"/>
      <c r="B842" s="68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</row>
    <row r="843">
      <c r="A843" s="68"/>
      <c r="B843" s="68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</row>
    <row r="844">
      <c r="A844" s="68"/>
      <c r="B844" s="68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</row>
    <row r="845">
      <c r="A845" s="68"/>
      <c r="B845" s="68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</row>
    <row r="846">
      <c r="A846" s="68"/>
      <c r="B846" s="68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</row>
    <row r="847">
      <c r="A847" s="68"/>
      <c r="B847" s="68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</row>
    <row r="848">
      <c r="A848" s="68"/>
      <c r="B848" s="68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</row>
    <row r="849">
      <c r="A849" s="68"/>
      <c r="B849" s="68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</row>
    <row r="850">
      <c r="A850" s="68"/>
      <c r="B850" s="68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</row>
    <row r="851">
      <c r="A851" s="68"/>
      <c r="B851" s="68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</row>
    <row r="852">
      <c r="A852" s="68"/>
      <c r="B852" s="68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</row>
    <row r="853">
      <c r="A853" s="68"/>
      <c r="B853" s="68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</row>
    <row r="854">
      <c r="A854" s="68"/>
      <c r="B854" s="68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</row>
    <row r="855">
      <c r="A855" s="68"/>
      <c r="B855" s="68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</row>
    <row r="856">
      <c r="A856" s="68"/>
      <c r="B856" s="68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</row>
    <row r="857">
      <c r="A857" s="68"/>
      <c r="B857" s="68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</row>
    <row r="858">
      <c r="A858" s="68"/>
      <c r="B858" s="68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</row>
    <row r="859">
      <c r="A859" s="68"/>
      <c r="B859" s="68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</row>
    <row r="860">
      <c r="A860" s="68"/>
      <c r="B860" s="68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</row>
    <row r="861">
      <c r="A861" s="68"/>
      <c r="B861" s="68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</row>
    <row r="862">
      <c r="A862" s="68"/>
      <c r="B862" s="68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</row>
    <row r="863">
      <c r="A863" s="68"/>
      <c r="B863" s="68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</row>
    <row r="864">
      <c r="A864" s="68"/>
      <c r="B864" s="68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</row>
    <row r="865">
      <c r="A865" s="68"/>
      <c r="B865" s="68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</row>
    <row r="866">
      <c r="A866" s="68"/>
      <c r="B866" s="68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</row>
    <row r="867">
      <c r="A867" s="68"/>
      <c r="B867" s="68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</row>
    <row r="868">
      <c r="A868" s="68"/>
      <c r="B868" s="68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</row>
    <row r="869">
      <c r="A869" s="68"/>
      <c r="B869" s="68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</row>
    <row r="870">
      <c r="A870" s="68"/>
      <c r="B870" s="68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</row>
    <row r="871">
      <c r="A871" s="68"/>
      <c r="B871" s="68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</row>
    <row r="872">
      <c r="A872" s="68"/>
      <c r="B872" s="68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</row>
    <row r="873">
      <c r="A873" s="68"/>
      <c r="B873" s="68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</row>
    <row r="874">
      <c r="A874" s="68"/>
      <c r="B874" s="68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</row>
    <row r="875">
      <c r="A875" s="68"/>
      <c r="B875" s="68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</row>
    <row r="876">
      <c r="A876" s="68"/>
      <c r="B876" s="68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</row>
    <row r="877">
      <c r="A877" s="68"/>
      <c r="B877" s="68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</row>
    <row r="878">
      <c r="A878" s="68"/>
      <c r="B878" s="68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</row>
    <row r="879">
      <c r="A879" s="68"/>
      <c r="B879" s="68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</row>
    <row r="880">
      <c r="A880" s="68"/>
      <c r="B880" s="68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</row>
    <row r="881">
      <c r="A881" s="68"/>
      <c r="B881" s="68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</row>
    <row r="882">
      <c r="A882" s="68"/>
      <c r="B882" s="68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</row>
    <row r="883">
      <c r="A883" s="68"/>
      <c r="B883" s="68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</row>
    <row r="884">
      <c r="A884" s="68"/>
      <c r="B884" s="68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</row>
    <row r="885">
      <c r="A885" s="68"/>
      <c r="B885" s="68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</row>
    <row r="886">
      <c r="A886" s="68"/>
      <c r="B886" s="68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</row>
    <row r="887">
      <c r="A887" s="68"/>
      <c r="B887" s="68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</row>
    <row r="888">
      <c r="A888" s="68"/>
      <c r="B888" s="68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</row>
    <row r="889">
      <c r="A889" s="68"/>
      <c r="B889" s="68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</row>
    <row r="890">
      <c r="A890" s="68"/>
      <c r="B890" s="68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</row>
    <row r="891">
      <c r="A891" s="68"/>
      <c r="B891" s="68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</row>
    <row r="892">
      <c r="A892" s="68"/>
      <c r="B892" s="68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</row>
    <row r="893">
      <c r="A893" s="68"/>
      <c r="B893" s="68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</row>
    <row r="894">
      <c r="A894" s="68"/>
      <c r="B894" s="68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</row>
    <row r="895">
      <c r="A895" s="68"/>
      <c r="B895" s="68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</row>
    <row r="896">
      <c r="A896" s="68"/>
      <c r="B896" s="68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</row>
    <row r="897">
      <c r="A897" s="68"/>
      <c r="B897" s="68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</row>
    <row r="898">
      <c r="A898" s="68"/>
      <c r="B898" s="68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</row>
    <row r="899">
      <c r="A899" s="68"/>
      <c r="B899" s="68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</row>
    <row r="900">
      <c r="A900" s="68"/>
      <c r="B900" s="68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</row>
    <row r="901">
      <c r="A901" s="68"/>
      <c r="B901" s="68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</row>
    <row r="902">
      <c r="A902" s="68"/>
      <c r="B902" s="68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</row>
    <row r="903">
      <c r="A903" s="68"/>
      <c r="B903" s="68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</row>
    <row r="904">
      <c r="A904" s="68"/>
      <c r="B904" s="68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</row>
    <row r="905">
      <c r="A905" s="68"/>
      <c r="B905" s="68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</row>
    <row r="906">
      <c r="A906" s="68"/>
      <c r="B906" s="68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</row>
    <row r="907">
      <c r="A907" s="68"/>
      <c r="B907" s="68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</row>
    <row r="908">
      <c r="A908" s="68"/>
      <c r="B908" s="68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</row>
    <row r="909">
      <c r="A909" s="68"/>
      <c r="B909" s="68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</row>
    <row r="910">
      <c r="A910" s="68"/>
      <c r="B910" s="68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</row>
    <row r="911">
      <c r="A911" s="68"/>
      <c r="B911" s="68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</row>
    <row r="912">
      <c r="A912" s="68"/>
      <c r="B912" s="68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</row>
    <row r="913">
      <c r="A913" s="68"/>
      <c r="B913" s="68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</row>
    <row r="914">
      <c r="A914" s="68"/>
      <c r="B914" s="68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</row>
    <row r="915">
      <c r="A915" s="68"/>
      <c r="B915" s="68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</row>
    <row r="916">
      <c r="A916" s="68"/>
      <c r="B916" s="68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</row>
    <row r="917">
      <c r="A917" s="68"/>
      <c r="B917" s="68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</row>
    <row r="918">
      <c r="A918" s="68"/>
      <c r="B918" s="68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</row>
    <row r="919">
      <c r="A919" s="68"/>
      <c r="B919" s="68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</row>
    <row r="920">
      <c r="A920" s="68"/>
      <c r="B920" s="68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</row>
    <row r="921">
      <c r="A921" s="68"/>
      <c r="B921" s="68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</row>
    <row r="922">
      <c r="A922" s="68"/>
      <c r="B922" s="68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</row>
    <row r="923">
      <c r="A923" s="68"/>
      <c r="B923" s="68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</row>
    <row r="924">
      <c r="A924" s="68"/>
      <c r="B924" s="68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</row>
    <row r="925">
      <c r="A925" s="68"/>
      <c r="B925" s="68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</row>
    <row r="926">
      <c r="A926" s="68"/>
      <c r="B926" s="68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</row>
    <row r="927">
      <c r="A927" s="68"/>
      <c r="B927" s="68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</row>
    <row r="928">
      <c r="A928" s="68"/>
      <c r="B928" s="68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</row>
    <row r="929">
      <c r="A929" s="68"/>
      <c r="B929" s="68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</row>
    <row r="930">
      <c r="A930" s="68"/>
      <c r="B930" s="68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</row>
    <row r="931">
      <c r="A931" s="68"/>
      <c r="B931" s="68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</row>
    <row r="932">
      <c r="A932" s="68"/>
      <c r="B932" s="68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</row>
    <row r="933">
      <c r="A933" s="68"/>
      <c r="B933" s="68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</row>
    <row r="934">
      <c r="A934" s="68"/>
      <c r="B934" s="68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</row>
    <row r="935">
      <c r="A935" s="68"/>
      <c r="B935" s="68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</row>
    <row r="936">
      <c r="A936" s="68"/>
      <c r="B936" s="68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</row>
    <row r="937">
      <c r="A937" s="68"/>
      <c r="B937" s="68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</row>
    <row r="938">
      <c r="A938" s="68"/>
      <c r="B938" s="68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</row>
    <row r="939">
      <c r="A939" s="68"/>
      <c r="B939" s="68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</row>
    <row r="940">
      <c r="A940" s="68"/>
      <c r="B940" s="68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</row>
    <row r="941">
      <c r="A941" s="68"/>
      <c r="B941" s="68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</row>
    <row r="942">
      <c r="A942" s="68"/>
      <c r="B942" s="68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</row>
    <row r="943">
      <c r="A943" s="68"/>
      <c r="B943" s="68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</row>
    <row r="944">
      <c r="A944" s="68"/>
      <c r="B944" s="68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</row>
    <row r="945">
      <c r="A945" s="68"/>
      <c r="B945" s="68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</row>
    <row r="946">
      <c r="A946" s="68"/>
      <c r="B946" s="68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</row>
    <row r="947">
      <c r="A947" s="68"/>
      <c r="B947" s="68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</row>
    <row r="948">
      <c r="A948" s="68"/>
      <c r="B948" s="68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</row>
    <row r="949">
      <c r="A949" s="68"/>
      <c r="B949" s="68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</row>
    <row r="950">
      <c r="A950" s="68"/>
      <c r="B950" s="68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</row>
    <row r="951">
      <c r="A951" s="68"/>
      <c r="B951" s="68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</row>
    <row r="952">
      <c r="A952" s="68"/>
      <c r="B952" s="68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</row>
    <row r="953">
      <c r="A953" s="68"/>
      <c r="B953" s="68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</row>
    <row r="954">
      <c r="A954" s="68"/>
      <c r="B954" s="68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</row>
    <row r="955">
      <c r="A955" s="68"/>
      <c r="B955" s="68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</row>
    <row r="956">
      <c r="A956" s="68"/>
      <c r="B956" s="68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</row>
    <row r="957">
      <c r="A957" s="68"/>
      <c r="B957" s="68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</row>
    <row r="958">
      <c r="A958" s="68"/>
      <c r="B958" s="68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</row>
    <row r="959">
      <c r="A959" s="68"/>
      <c r="B959" s="68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</row>
    <row r="960">
      <c r="A960" s="68"/>
      <c r="B960" s="68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</row>
    <row r="961">
      <c r="A961" s="68"/>
      <c r="B961" s="68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</row>
    <row r="962">
      <c r="A962" s="68"/>
      <c r="B962" s="68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</row>
    <row r="963">
      <c r="A963" s="68"/>
      <c r="B963" s="68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</row>
    <row r="964">
      <c r="A964" s="68"/>
      <c r="B964" s="68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</row>
    <row r="965">
      <c r="A965" s="68"/>
      <c r="B965" s="68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</row>
    <row r="966">
      <c r="A966" s="68"/>
      <c r="B966" s="68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</row>
    <row r="967">
      <c r="A967" s="68"/>
      <c r="B967" s="68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</row>
    <row r="968">
      <c r="A968" s="68"/>
      <c r="B968" s="68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</row>
    <row r="969">
      <c r="A969" s="68"/>
      <c r="B969" s="68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</row>
    <row r="970">
      <c r="A970" s="68"/>
      <c r="B970" s="68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</row>
    <row r="971">
      <c r="A971" s="68"/>
      <c r="B971" s="68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</row>
    <row r="972">
      <c r="A972" s="68"/>
      <c r="B972" s="68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</row>
    <row r="973">
      <c r="A973" s="68"/>
      <c r="B973" s="68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</row>
    <row r="974">
      <c r="A974" s="68"/>
      <c r="B974" s="68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</row>
    <row r="975">
      <c r="A975" s="68"/>
      <c r="B975" s="68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</row>
    <row r="976">
      <c r="A976" s="68"/>
      <c r="B976" s="68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</row>
    <row r="977">
      <c r="A977" s="68"/>
      <c r="B977" s="68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</row>
    <row r="978">
      <c r="A978" s="68"/>
      <c r="B978" s="68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</row>
    <row r="979">
      <c r="A979" s="68"/>
      <c r="B979" s="68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</row>
    <row r="980">
      <c r="A980" s="68"/>
      <c r="B980" s="68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</row>
    <row r="981">
      <c r="A981" s="68"/>
      <c r="B981" s="68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</row>
    <row r="982">
      <c r="A982" s="68"/>
      <c r="B982" s="68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</row>
    <row r="983">
      <c r="A983" s="68"/>
      <c r="B983" s="68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</row>
    <row r="984">
      <c r="A984" s="68"/>
      <c r="B984" s="68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</row>
    <row r="985">
      <c r="A985" s="68"/>
      <c r="B985" s="68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</row>
    <row r="986">
      <c r="A986" s="68"/>
      <c r="B986" s="68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</row>
    <row r="987">
      <c r="A987" s="68"/>
      <c r="B987" s="68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</row>
    <row r="988">
      <c r="A988" s="68"/>
      <c r="B988" s="68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</row>
    <row r="989">
      <c r="A989" s="68"/>
      <c r="B989" s="68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</row>
    <row r="990">
      <c r="A990" s="68"/>
      <c r="B990" s="68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</row>
    <row r="991">
      <c r="A991" s="68"/>
      <c r="B991" s="68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</row>
    <row r="992">
      <c r="A992" s="68"/>
      <c r="B992" s="68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</row>
    <row r="993">
      <c r="A993" s="68"/>
      <c r="B993" s="68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</row>
    <row r="994">
      <c r="A994" s="68"/>
      <c r="B994" s="68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</row>
    <row r="995">
      <c r="A995" s="68"/>
      <c r="B995" s="68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</row>
    <row r="996">
      <c r="A996" s="68"/>
      <c r="B996" s="68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</row>
    <row r="997">
      <c r="A997" s="68"/>
      <c r="B997" s="68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</row>
    <row r="998">
      <c r="A998" s="68"/>
      <c r="B998" s="68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</row>
    <row r="999">
      <c r="A999" s="68"/>
      <c r="B999" s="68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</row>
    <row r="1000">
      <c r="A1000" s="68"/>
      <c r="B1000" s="68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</row>
    <row r="1001">
      <c r="A1001" s="68"/>
      <c r="B1001" s="68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</row>
    <row r="1002">
      <c r="A1002" s="68"/>
      <c r="B1002" s="68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</row>
    <row r="1003">
      <c r="A1003" s="68"/>
      <c r="B1003" s="68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</row>
    <row r="1004">
      <c r="A1004" s="68"/>
      <c r="B1004" s="68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</row>
    <row r="1005">
      <c r="A1005" s="68"/>
      <c r="B1005" s="68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</row>
    <row r="1006">
      <c r="A1006" s="68"/>
      <c r="B1006" s="68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>
        <v>2015.0</v>
      </c>
      <c r="B1" s="17">
        <v>2016.0</v>
      </c>
      <c r="C1" s="17">
        <v>2017.0</v>
      </c>
      <c r="D1" s="17">
        <v>2018.0</v>
      </c>
      <c r="E1" s="17">
        <v>2019.0</v>
      </c>
      <c r="F1" s="17">
        <v>2020.0</v>
      </c>
      <c r="G1" s="17">
        <v>2021.0</v>
      </c>
      <c r="H1" s="17">
        <v>2022.0</v>
      </c>
      <c r="I1" s="17">
        <v>2023.0</v>
      </c>
      <c r="J1" s="17">
        <v>2024.0</v>
      </c>
      <c r="K1" s="17">
        <v>2025.0</v>
      </c>
    </row>
    <row r="2">
      <c r="A2" s="23">
        <v>1.3882589E7</v>
      </c>
      <c r="B2" s="23">
        <v>7111065.0</v>
      </c>
      <c r="C2" s="23">
        <v>1.0060317E7</v>
      </c>
      <c r="D2" s="23">
        <v>9817554.0</v>
      </c>
      <c r="E2" s="23">
        <v>8035913.0</v>
      </c>
      <c r="F2" s="23">
        <v>1.2854873E7</v>
      </c>
      <c r="G2" s="23">
        <v>1.1246016E7</v>
      </c>
      <c r="H2" s="23">
        <v>1.5938774E7</v>
      </c>
      <c r="I2" s="23">
        <v>1.9580773E7</v>
      </c>
      <c r="J2" s="23">
        <v>2.8260753E7</v>
      </c>
      <c r="K2" s="23" t="str">
        <f>#REF!</f>
        <v>#REF!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E2" s="91" t="s">
        <v>97</v>
      </c>
    </row>
    <row r="6">
      <c r="B6" s="92" t="s">
        <v>86</v>
      </c>
      <c r="C6" s="93"/>
      <c r="D6" s="93"/>
      <c r="E6" s="93"/>
      <c r="F6" s="94"/>
    </row>
    <row r="7">
      <c r="B7" s="95"/>
      <c r="F7" s="96"/>
    </row>
    <row r="8">
      <c r="B8" s="97"/>
      <c r="C8" s="98"/>
      <c r="D8" s="98"/>
      <c r="E8" s="98"/>
      <c r="F8" s="99"/>
    </row>
  </sheetData>
  <mergeCells count="2">
    <mergeCell ref="E2:N4"/>
    <mergeCell ref="B6:F8"/>
  </mergeCells>
  <drawing r:id="rId1"/>
</worksheet>
</file>